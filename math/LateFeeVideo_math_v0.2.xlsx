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s" sheetId="1" state="visible" r:id="rId3"/>
    <sheet name="Paytable" sheetId="2" state="visible" r:id="rId4"/>
    <sheet name="Features" sheetId="3" state="visible" r:id="rId5"/>
    <sheet name="ReelCounts" sheetId="4" state="visible" r:id="rId6"/>
    <sheet name="Strip_base" sheetId="5" state="visible" r:id="rId7"/>
    <sheet name="Strip_bonus" sheetId="6" state="visible" r:id="rId8"/>
    <sheet name="Strip_ante" sheetId="7" state="visible" r:id="rId9"/>
    <sheet name="Lines" sheetId="8" state="visible" r:id="rId10"/>
    <sheet name="Distribution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<sst xmlns="http://schemas.openxmlformats.org/spreadsheetml/2006/main" count="1427" uniqueCount="120">
  <si>
    <t xml:space="preserve">Late Fee Video — режимы (прототип JS, естественный RTP до оптимизации весов)</t>
  </si>
  <si>
    <t xml:space="preserve">Синий шрифт = входные данные (цена режима, цель). Значения симуляции — из proto/sim.js, сид и число раундов в столбцах C–D.</t>
  </si>
  <si>
    <t xml:space="preserve">Mode</t>
  </si>
  <si>
    <t xml:space="preserve">Название</t>
  </si>
  <si>
    <t xml:space="preserve">Раундов (сим.)</t>
  </si>
  <si>
    <t xml:space="preserve">Цена, ×ставки</t>
  </si>
  <si>
    <t xml:space="preserve">Средний выигрыш за раунд, ×ставки</t>
  </si>
  <si>
    <t xml:space="preserve">RTP (естеств.)</t>
  </si>
  <si>
    <t xml:space="preserve">Цель RTP</t>
  </si>
  <si>
    <t xml:space="preserve">Отклонение от цели</t>
  </si>
  <si>
    <t xml:space="preserve">Доля RTP от базы</t>
  </si>
  <si>
    <t xml:space="preserve">Доля RTP от бонуса</t>
  </si>
  <si>
    <t xml:space="preserve">Hit rate, 1 из</t>
  </si>
  <si>
    <t xml:space="preserve">Бонус, 1 из</t>
  </si>
  <si>
    <t xml:space="preserve">Средний бонус, ×ставки</t>
  </si>
  <si>
    <t xml:space="preserve">SD за раунд (÷цену)</t>
  </si>
  <si>
    <t xml:space="preserve">Макс. выигрыш в сим., ×</t>
  </si>
  <si>
    <t xml:space="preserve">Раундов на cap 15 000×</t>
  </si>
  <si>
    <t xml:space="preserve">Max win, 1 из (сим.)</t>
  </si>
  <si>
    <t xml:space="preserve">base</t>
  </si>
  <si>
    <t xml:space="preserve">Base</t>
  </si>
  <si>
    <t xml:space="preserve">ante</t>
  </si>
  <si>
    <t xml:space="preserve">Ante «Вечерний тариф»</t>
  </si>
  <si>
    <t xml:space="preserve">bonus</t>
  </si>
  <si>
    <t xml:space="preserve">Buy «Ночная смена»</t>
  </si>
  <si>
    <t xml:space="preserve">double</t>
  </si>
  <si>
    <t xml:space="preserve">Buy «Двойной сеанс»</t>
  </si>
  <si>
    <t xml:space="preserve">director</t>
  </si>
  <si>
    <t xml:space="preserve">Buy «Режиссёрская версия»</t>
  </si>
  <si>
    <t xml:space="preserve">Примечание: финальный RTP 96.00 % по каждому режиму задаётся оптимизацией весов lookUpTable в Stake Math SDK; здесь естественный RTP модели. Требование Stake: RTP 90–98 %, режимы в пределах 0.5 % друг от друга.</t>
  </si>
  <si>
    <t xml:space="preserve">Таблица выплат: 20 линий, слева направо, на линии платит старшая комбинация</t>
  </si>
  <si>
    <t xml:space="preserve">Символ</t>
  </si>
  <si>
    <t xml:space="preserve">Описание</t>
  </si>
  <si>
    <t xml:space="preserve">3 (×линии)</t>
  </si>
  <si>
    <t xml:space="preserve">4 (×линии)</t>
  </si>
  <si>
    <t xml:space="preserve">5 (×линии)</t>
  </si>
  <si>
    <t xml:space="preserve">Линий</t>
  </si>
  <si>
    <t xml:space="preserve">3 (×ставки)</t>
  </si>
  <si>
    <t xml:space="preserve">4 (×ставки)</t>
  </si>
  <si>
    <t xml:space="preserve">5 (×ставки)</t>
  </si>
  <si>
    <t xml:space="preserve">P</t>
  </si>
  <si>
    <t xml:space="preserve">Дел (premium)</t>
  </si>
  <si>
    <t xml:space="preserve">H1</t>
  </si>
  <si>
    <t xml:space="preserve">Кассета «Ужасы»</t>
  </si>
  <si>
    <t xml:space="preserve">H2</t>
  </si>
  <si>
    <t xml:space="preserve">Кассета «Боевик»</t>
  </si>
  <si>
    <t xml:space="preserve">H3</t>
  </si>
  <si>
    <t xml:space="preserve">Кассета «Sci-Fi»</t>
  </si>
  <si>
    <t xml:space="preserve">M1</t>
  </si>
  <si>
    <t xml:space="preserve">Попкорн</t>
  </si>
  <si>
    <t xml:space="preserve">M2</t>
  </si>
  <si>
    <t xml:space="preserve">Газировка</t>
  </si>
  <si>
    <t xml:space="preserve">M3</t>
  </si>
  <si>
    <t xml:space="preserve">Телефон</t>
  </si>
  <si>
    <t xml:space="preserve">L1</t>
  </si>
  <si>
    <t xml:space="preserve">▶ Play</t>
  </si>
  <si>
    <t xml:space="preserve">L2</t>
  </si>
  <si>
    <t xml:space="preserve">■ Stop</t>
  </si>
  <si>
    <t xml:space="preserve">L3</t>
  </si>
  <si>
    <t xml:space="preserve">◀◀ Rew</t>
  </si>
  <si>
    <t xml:space="preserve">L4</t>
  </si>
  <si>
    <t xml:space="preserve">❚❚ Pause</t>
  </si>
  <si>
    <t xml:space="preserve">Scatter (ключ), в любом месте, ×ставки</t>
  </si>
  <si>
    <t xml:space="preserve">Scatter</t>
  </si>
  <si>
    <t xml:space="preserve">Выплата, ×ставки</t>
  </si>
  <si>
    <t xml:space="preserve">Фриспинов</t>
  </si>
  <si>
    <t xml:space="preserve">В бонусе: доп. спинов</t>
  </si>
  <si>
    <t xml:space="preserve">Wild (★) только на барабанах 2–4, заменяет всё кроме Scatter и REW; на барабане 1 его нет, поэтому своей линии не образует. REW только в бонусе, барабан 5. Лимит фриспинов за бонус: 50.</t>
  </si>
  <si>
    <t xml:space="preserve">Параметры фич</t>
  </si>
  <si>
    <t xml:space="preserve">PAUSE: шанс после выигрышного спина, база</t>
  </si>
  <si>
    <t xml:space="preserve">PAUSE: шанс после выигрышного спина, бонус</t>
  </si>
  <si>
    <t xml:space="preserve">Множители перемотки по порядку</t>
  </si>
  <si>
    <t xml:space="preserve">×2 → ×3 → ×5 → ×10</t>
  </si>
  <si>
    <t xml:space="preserve">Max win, ×ставки</t>
  </si>
  <si>
    <t xml:space="preserve">Buy «Ночная смена»: фриспинов</t>
  </si>
  <si>
    <t xml:space="preserve">Buy «Ночная смена»: стартовый множитель</t>
  </si>
  <si>
    <t xml:space="preserve">×2</t>
  </si>
  <si>
    <t xml:space="preserve">Buy «Ночная смена»: гарантированный REW</t>
  </si>
  <si>
    <t xml:space="preserve">нет</t>
  </si>
  <si>
    <t xml:space="preserve">Buy «Двойной сеанс»: фриспинов</t>
  </si>
  <si>
    <t xml:space="preserve">Buy «Двойной сеанс»: стартовый множитель</t>
  </si>
  <si>
    <t xml:space="preserve">Buy «Двойной сеанс»: гарантированный REW</t>
  </si>
  <si>
    <t xml:space="preserve">каждый 3-й спин</t>
  </si>
  <si>
    <t xml:space="preserve">Buy «Режиссёрская версия»: фриспинов</t>
  </si>
  <si>
    <t xml:space="preserve">Buy «Режиссёрская версия»: стартовый множитель</t>
  </si>
  <si>
    <t xml:space="preserve">×5</t>
  </si>
  <si>
    <t xml:space="preserve">Buy «Режиссёрская версия»: гарантированный REW</t>
  </si>
  <si>
    <t xml:space="preserve">каждый 2-й спин</t>
  </si>
  <si>
    <t xml:space="preserve">Состав лент (количество символов на ленте)</t>
  </si>
  <si>
    <t xml:space="preserve">Набор base</t>
  </si>
  <si>
    <t xml:space="preserve">Б1</t>
  </si>
  <si>
    <t xml:space="preserve">Б2</t>
  </si>
  <si>
    <t xml:space="preserve">Б3</t>
  </si>
  <si>
    <t xml:space="preserve">Б4</t>
  </si>
  <si>
    <t xml:space="preserve">Б5</t>
  </si>
  <si>
    <t xml:space="preserve">W</t>
  </si>
  <si>
    <t xml:space="preserve">S</t>
  </si>
  <si>
    <t xml:space="preserve">R</t>
  </si>
  <si>
    <t xml:space="preserve">Длина</t>
  </si>
  <si>
    <t xml:space="preserve">Набор ante</t>
  </si>
  <si>
    <t xml:space="preserve">Набор bonus</t>
  </si>
  <si>
    <t xml:space="preserve">Позиция</t>
  </si>
  <si>
    <t xml:space="preserve">Линия</t>
  </si>
  <si>
    <t xml:space="preserve">Ряд: 0 верх, 1 центр, 2 низ</t>
  </si>
  <si>
    <t xml:space="preserve">Распределение выигрышей за раунд (×ставки), доля раундов</t>
  </si>
  <si>
    <t xml:space="preserve">Диапазон, ×ставки</t>
  </si>
  <si>
    <t xml:space="preserve">0 (проигрыш)</t>
  </si>
  <si>
    <t xml:space="preserve">&gt;0–1</t>
  </si>
  <si>
    <t xml:space="preserve">1–2</t>
  </si>
  <si>
    <t xml:space="preserve">2–5</t>
  </si>
  <si>
    <t xml:space="preserve">5–10</t>
  </si>
  <si>
    <t xml:space="preserve">10–20</t>
  </si>
  <si>
    <t xml:space="preserve">20–50</t>
  </si>
  <si>
    <t xml:space="preserve">50–100</t>
  </si>
  <si>
    <t xml:space="preserve">100–500</t>
  </si>
  <si>
    <t xml:space="preserve">500–1000</t>
  </si>
  <si>
    <t xml:space="preserve">1000–5000</t>
  </si>
  <si>
    <t xml:space="preserve">5000–15000</t>
  </si>
  <si>
    <t xml:space="preserve">15000+ (cap)</t>
  </si>
  <si>
    <t xml:space="preserve">Источник: proto/sim.js, сиды 11–16, раундов — см. лист Modes.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</si>
</sst>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%"/>
    <numFmt numFmtId="166" formatCode="0%"/>
    <numFmt numFmtId="167" formatCode="0.000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B2D42"/>
        <bgColor rgb="FF33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B2D4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16"/>
    <col collapsed="false" customWidth="true" hidden="false" outlineLevel="0" max="6" min="6" style="0" width="10"/>
    <col collapsed="false" customWidth="true" hidden="false" outlineLevel="0" max="7" min="7" style="0" width="9"/>
    <col collapsed="false" customWidth="true" hidden="false" outlineLevel="0" max="10" min="8" style="0" width="11"/>
    <col collapsed="false" customWidth="true" hidden="false" outlineLevel="0" max="12" min="11" style="0" width="10"/>
    <col collapsed="false" customWidth="true" hidden="false" outlineLevel="0" max="13" min="13" style="0" width="12"/>
    <col collapsed="false" customWidth="true" hidden="false" outlineLevel="0" max="14" min="14" style="0" width="11"/>
    <col collapsed="false" customWidth="true" hidden="false" outlineLevel="0" max="15" min="15" style="0" width="12"/>
    <col collapsed="false" customWidth="true" hidden="false" outlineLevel="0" max="16" min="16" style="0" width="11"/>
    <col collapsed="false" customWidth="true" hidden="false" outlineLevel="0" max="17" min="17" style="0" width="14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4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</row>
    <row r="5" customFormat="false" ht="15" hidden="false" customHeight="false" outlineLevel="0" collapsed="false">
      <c r="A5" s="2" t="s">
        <v>19</v>
      </c>
      <c r="B5" s="2" t="s">
        <v>20</v>
      </c>
      <c r="C5" s="2" t="n">
        <v>20000000</v>
      </c>
      <c r="D5" s="4" t="n">
        <v>1</v>
      </c>
      <c r="E5" s="2" t="n">
        <v>0.9552</v>
      </c>
      <c r="F5" s="5" t="n">
        <f aca="false">E5/D5</f>
        <v>0.9552</v>
      </c>
      <c r="G5" s="6" t="n">
        <v>0.96</v>
      </c>
      <c r="H5" s="5" t="n">
        <f aca="false">F5-G5</f>
        <v>-0.00479999999999992</v>
      </c>
      <c r="I5" s="5" t="n">
        <f aca="false">0.5976</f>
        <v>0.5976</v>
      </c>
      <c r="J5" s="5" t="n">
        <f aca="false">0.3576</f>
        <v>0.3576</v>
      </c>
      <c r="K5" s="2" t="n">
        <v>4.33</v>
      </c>
      <c r="L5" s="2" t="n">
        <v>276.9</v>
      </c>
      <c r="M5" s="2" t="n">
        <v>99.03</v>
      </c>
      <c r="N5" s="2" t="n">
        <v>11.09</v>
      </c>
      <c r="O5" s="2" t="n">
        <v>4464.25</v>
      </c>
      <c r="P5" s="2" t="n">
        <v>0</v>
      </c>
      <c r="Q5" s="2" t="str">
        <f aca="false">IF(P5&gt;0,C5/P5,"не достигнут")</f>
        <v>не достигнут</v>
      </c>
    </row>
    <row r="6" customFormat="false" ht="15" hidden="false" customHeight="false" outlineLevel="0" collapsed="false">
      <c r="A6" s="2" t="s">
        <v>21</v>
      </c>
      <c r="B6" s="2" t="s">
        <v>22</v>
      </c>
      <c r="C6" s="2" t="n">
        <v>10000000</v>
      </c>
      <c r="D6" s="4" t="n">
        <v>3</v>
      </c>
      <c r="E6" s="2" t="n">
        <v>2.8791</v>
      </c>
      <c r="F6" s="5" t="n">
        <f aca="false">E6/D6</f>
        <v>0.9597</v>
      </c>
      <c r="G6" s="6" t="n">
        <v>0.96</v>
      </c>
      <c r="H6" s="5" t="n">
        <f aca="false">F6-G6</f>
        <v>-0.000299999999999856</v>
      </c>
      <c r="I6" s="5" t="n">
        <f aca="false">0.2019</f>
        <v>0.2019</v>
      </c>
      <c r="J6" s="5" t="n">
        <f aca="false">0.7579</f>
        <v>0.7579</v>
      </c>
      <c r="K6" s="2" t="n">
        <v>4.19</v>
      </c>
      <c r="L6" s="2" t="n">
        <v>44.1</v>
      </c>
      <c r="M6" s="2" t="n">
        <v>100.36</v>
      </c>
      <c r="N6" s="2" t="n">
        <v>9.16</v>
      </c>
      <c r="O6" s="2" t="n">
        <v>4922.5</v>
      </c>
      <c r="P6" s="2" t="n">
        <v>0</v>
      </c>
      <c r="Q6" s="2" t="str">
        <f aca="false">IF(P6&gt;0,C6/P6,"не достигнут")</f>
        <v>не достигнут</v>
      </c>
    </row>
    <row r="7" customFormat="false" ht="15" hidden="false" customHeight="false" outlineLevel="0" collapsed="false">
      <c r="A7" s="2" t="s">
        <v>23</v>
      </c>
      <c r="B7" s="2" t="s">
        <v>24</v>
      </c>
      <c r="C7" s="2" t="n">
        <v>500000</v>
      </c>
      <c r="D7" s="4" t="n">
        <v>100</v>
      </c>
      <c r="E7" s="2" t="n">
        <v>96.73</v>
      </c>
      <c r="F7" s="5" t="n">
        <f aca="false">E7/D7</f>
        <v>0.9673</v>
      </c>
      <c r="G7" s="6" t="n">
        <v>0.96</v>
      </c>
      <c r="H7" s="5" t="n">
        <f aca="false">F7-G7</f>
        <v>0.00730000000000008</v>
      </c>
      <c r="I7" s="5" t="n">
        <f aca="false">0</f>
        <v>0</v>
      </c>
      <c r="J7" s="5" t="n">
        <f aca="false">0.9673</f>
        <v>0.9673</v>
      </c>
      <c r="K7" s="2" t="n">
        <v>1</v>
      </c>
      <c r="L7" s="2" t="n">
        <v>1</v>
      </c>
      <c r="M7" s="2" t="n">
        <v>96.73</v>
      </c>
      <c r="N7" s="2" t="n">
        <v>1.47</v>
      </c>
      <c r="O7" s="2" t="n">
        <v>4838</v>
      </c>
      <c r="P7" s="2" t="n">
        <v>0</v>
      </c>
      <c r="Q7" s="2" t="str">
        <f aca="false">IF(P7&gt;0,C7/P7,"не достигнут")</f>
        <v>не достигнут</v>
      </c>
    </row>
    <row r="8" customFormat="false" ht="15" hidden="false" customHeight="false" outlineLevel="0" collapsed="false">
      <c r="A8" s="2" t="s">
        <v>25</v>
      </c>
      <c r="B8" s="2" t="s">
        <v>26</v>
      </c>
      <c r="C8" s="2" t="n">
        <v>500000</v>
      </c>
      <c r="D8" s="4" t="n">
        <v>260</v>
      </c>
      <c r="E8" s="2" t="n">
        <v>249.99</v>
      </c>
      <c r="F8" s="5" t="n">
        <f aca="false">E8/D8</f>
        <v>0.9615</v>
      </c>
      <c r="G8" s="6" t="n">
        <v>0.96</v>
      </c>
      <c r="H8" s="5" t="n">
        <f aca="false">F8-G8</f>
        <v>0.00150000000000006</v>
      </c>
      <c r="I8" s="5" t="n">
        <f aca="false">0</f>
        <v>0</v>
      </c>
      <c r="J8" s="5" t="n">
        <f aca="false">0.9615</f>
        <v>0.9615</v>
      </c>
      <c r="K8" s="2" t="n">
        <v>1</v>
      </c>
      <c r="L8" s="2" t="n">
        <v>1</v>
      </c>
      <c r="M8" s="2" t="n">
        <v>250</v>
      </c>
      <c r="N8" s="2" t="n">
        <v>1.12</v>
      </c>
      <c r="O8" s="2" t="n">
        <v>11817</v>
      </c>
      <c r="P8" s="2" t="n">
        <v>0</v>
      </c>
      <c r="Q8" s="2" t="str">
        <f aca="false">IF(P8&gt;0,C8/P8,"не достигнут")</f>
        <v>не достигнут</v>
      </c>
    </row>
    <row r="9" customFormat="false" ht="15" hidden="false" customHeight="false" outlineLevel="0" collapsed="false">
      <c r="A9" s="2" t="s">
        <v>27</v>
      </c>
      <c r="B9" s="2" t="s">
        <v>28</v>
      </c>
      <c r="C9" s="2" t="n">
        <v>500000</v>
      </c>
      <c r="D9" s="4" t="n">
        <v>570</v>
      </c>
      <c r="E9" s="2" t="n">
        <v>547.086</v>
      </c>
      <c r="F9" s="5" t="n">
        <f aca="false">E9/D9</f>
        <v>0.9598</v>
      </c>
      <c r="G9" s="6" t="n">
        <v>0.96</v>
      </c>
      <c r="H9" s="5" t="n">
        <f aca="false">F9-G9</f>
        <v>-0.000199999999999978</v>
      </c>
      <c r="I9" s="5" t="n">
        <f aca="false">0</f>
        <v>0</v>
      </c>
      <c r="J9" s="5" t="n">
        <f aca="false">0.9598</f>
        <v>0.9598</v>
      </c>
      <c r="K9" s="2" t="n">
        <v>1</v>
      </c>
      <c r="L9" s="2" t="n">
        <v>1</v>
      </c>
      <c r="M9" s="2" t="n">
        <v>547.09</v>
      </c>
      <c r="N9" s="2" t="n">
        <v>0.9</v>
      </c>
      <c r="O9" s="2" t="n">
        <v>15000</v>
      </c>
      <c r="P9" s="2" t="n">
        <v>4</v>
      </c>
      <c r="Q9" s="2" t="n">
        <f aca="false">IF(P9&gt;0,C9/P9,"не достигнут")</f>
        <v>125000</v>
      </c>
    </row>
    <row r="11" customFormat="false" ht="15" hidden="false" customHeight="false" outlineLevel="0" collapsed="false">
      <c r="A11" s="2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5" min="3" style="0" width="11"/>
    <col collapsed="false" customWidth="true" hidden="false" outlineLevel="0" max="6" min="6" style="0" width="7"/>
    <col collapsed="false" customWidth="true" hidden="false" outlineLevel="0" max="9" min="7" style="0" width="11"/>
  </cols>
  <sheetData>
    <row r="1" customFormat="false" ht="16.15" hidden="false" customHeight="false" outlineLevel="0" collapsed="false">
      <c r="A1" s="1" t="s">
        <v>30</v>
      </c>
    </row>
    <row r="3" customFormat="false" ht="26.85" hidden="false" customHeight="false" outlineLevel="0" collapsed="false">
      <c r="A3" s="3" t="s">
        <v>31</v>
      </c>
      <c r="B3" s="3" t="s">
        <v>32</v>
      </c>
      <c r="C3" s="3" t="s">
        <v>33</v>
      </c>
      <c r="D3" s="3" t="s">
        <v>34</v>
      </c>
      <c r="E3" s="3" t="s">
        <v>35</v>
      </c>
      <c r="F3" s="3" t="s">
        <v>36</v>
      </c>
      <c r="G3" s="3" t="s">
        <v>37</v>
      </c>
      <c r="H3" s="3" t="s">
        <v>38</v>
      </c>
      <c r="I3" s="3" t="s">
        <v>39</v>
      </c>
    </row>
    <row r="4" customFormat="false" ht="15" hidden="false" customHeight="false" outlineLevel="0" collapsed="false">
      <c r="A4" s="2" t="s">
        <v>40</v>
      </c>
      <c r="B4" s="2" t="s">
        <v>41</v>
      </c>
      <c r="C4" s="4" t="n">
        <v>50</v>
      </c>
      <c r="D4" s="4" t="n">
        <v>250</v>
      </c>
      <c r="E4" s="4" t="n">
        <v>1000</v>
      </c>
      <c r="F4" s="2" t="n">
        <v>20</v>
      </c>
      <c r="G4" s="2" t="n">
        <f aca="false">C4/F4</f>
        <v>2.5</v>
      </c>
      <c r="H4" s="2" t="n">
        <f aca="false">D4/F4</f>
        <v>12.5</v>
      </c>
      <c r="I4" s="2" t="n">
        <f aca="false">E4/F4</f>
        <v>50</v>
      </c>
    </row>
    <row r="5" customFormat="false" ht="15" hidden="false" customHeight="false" outlineLevel="0" collapsed="false">
      <c r="A5" s="2" t="s">
        <v>42</v>
      </c>
      <c r="B5" s="2" t="s">
        <v>43</v>
      </c>
      <c r="C5" s="4" t="n">
        <v>40</v>
      </c>
      <c r="D5" s="4" t="n">
        <v>150</v>
      </c>
      <c r="E5" s="4" t="n">
        <v>500</v>
      </c>
      <c r="F5" s="2" t="n">
        <v>20</v>
      </c>
      <c r="G5" s="2" t="n">
        <f aca="false">C5/F5</f>
        <v>2</v>
      </c>
      <c r="H5" s="2" t="n">
        <f aca="false">D5/F5</f>
        <v>7.5</v>
      </c>
      <c r="I5" s="2" t="n">
        <f aca="false">E5/F5</f>
        <v>25</v>
      </c>
    </row>
    <row r="6" customFormat="false" ht="15" hidden="false" customHeight="false" outlineLevel="0" collapsed="false">
      <c r="A6" s="2" t="s">
        <v>44</v>
      </c>
      <c r="B6" s="2" t="s">
        <v>45</v>
      </c>
      <c r="C6" s="4" t="n">
        <v>30</v>
      </c>
      <c r="D6" s="4" t="n">
        <v>120</v>
      </c>
      <c r="E6" s="4" t="n">
        <v>400</v>
      </c>
      <c r="F6" s="2" t="n">
        <v>20</v>
      </c>
      <c r="G6" s="2" t="n">
        <f aca="false">C6/F6</f>
        <v>1.5</v>
      </c>
      <c r="H6" s="2" t="n">
        <f aca="false">D6/F6</f>
        <v>6</v>
      </c>
      <c r="I6" s="2" t="n">
        <f aca="false">E6/F6</f>
        <v>20</v>
      </c>
    </row>
    <row r="7" customFormat="false" ht="15" hidden="false" customHeight="false" outlineLevel="0" collapsed="false">
      <c r="A7" s="2" t="s">
        <v>46</v>
      </c>
      <c r="B7" s="2" t="s">
        <v>47</v>
      </c>
      <c r="C7" s="4" t="n">
        <v>25</v>
      </c>
      <c r="D7" s="4" t="n">
        <v>100</v>
      </c>
      <c r="E7" s="4" t="n">
        <v>300</v>
      </c>
      <c r="F7" s="2" t="n">
        <v>20</v>
      </c>
      <c r="G7" s="2" t="n">
        <f aca="false">C7/F7</f>
        <v>1.25</v>
      </c>
      <c r="H7" s="2" t="n">
        <f aca="false">D7/F7</f>
        <v>5</v>
      </c>
      <c r="I7" s="2" t="n">
        <f aca="false">E7/F7</f>
        <v>15</v>
      </c>
    </row>
    <row r="8" customFormat="false" ht="15" hidden="false" customHeight="false" outlineLevel="0" collapsed="false">
      <c r="A8" s="2" t="s">
        <v>48</v>
      </c>
      <c r="B8" s="2" t="s">
        <v>49</v>
      </c>
      <c r="C8" s="4" t="n">
        <v>20</v>
      </c>
      <c r="D8" s="4" t="n">
        <v>60</v>
      </c>
      <c r="E8" s="4" t="n">
        <v>200</v>
      </c>
      <c r="F8" s="2" t="n">
        <v>20</v>
      </c>
      <c r="G8" s="2" t="n">
        <f aca="false">C8/F8</f>
        <v>1</v>
      </c>
      <c r="H8" s="2" t="n">
        <f aca="false">D8/F8</f>
        <v>3</v>
      </c>
      <c r="I8" s="2" t="n">
        <f aca="false">E8/F8</f>
        <v>10</v>
      </c>
    </row>
    <row r="9" customFormat="false" ht="15" hidden="false" customHeight="false" outlineLevel="0" collapsed="false">
      <c r="A9" s="2" t="s">
        <v>50</v>
      </c>
      <c r="B9" s="2" t="s">
        <v>51</v>
      </c>
      <c r="C9" s="4" t="n">
        <v>15</v>
      </c>
      <c r="D9" s="4" t="n">
        <v>50</v>
      </c>
      <c r="E9" s="4" t="n">
        <v>150</v>
      </c>
      <c r="F9" s="2" t="n">
        <v>20</v>
      </c>
      <c r="G9" s="2" t="n">
        <f aca="false">C9/F9</f>
        <v>0.75</v>
      </c>
      <c r="H9" s="2" t="n">
        <f aca="false">D9/F9</f>
        <v>2.5</v>
      </c>
      <c r="I9" s="2" t="n">
        <f aca="false">E9/F9</f>
        <v>7.5</v>
      </c>
    </row>
    <row r="10" customFormat="false" ht="15" hidden="false" customHeight="false" outlineLevel="0" collapsed="false">
      <c r="A10" s="2" t="s">
        <v>52</v>
      </c>
      <c r="B10" s="2" t="s">
        <v>53</v>
      </c>
      <c r="C10" s="4" t="n">
        <v>15</v>
      </c>
      <c r="D10" s="4" t="n">
        <v>40</v>
      </c>
      <c r="E10" s="4" t="n">
        <v>125</v>
      </c>
      <c r="F10" s="2" t="n">
        <v>20</v>
      </c>
      <c r="G10" s="2" t="n">
        <f aca="false">C10/F10</f>
        <v>0.75</v>
      </c>
      <c r="H10" s="2" t="n">
        <f aca="false">D10/F10</f>
        <v>2</v>
      </c>
      <c r="I10" s="2" t="n">
        <f aca="false">E10/F10</f>
        <v>6.25</v>
      </c>
    </row>
    <row r="11" customFormat="false" ht="15" hidden="false" customHeight="false" outlineLevel="0" collapsed="false">
      <c r="A11" s="2" t="s">
        <v>54</v>
      </c>
      <c r="B11" s="2" t="s">
        <v>55</v>
      </c>
      <c r="C11" s="4" t="n">
        <v>10</v>
      </c>
      <c r="D11" s="4" t="n">
        <v>25</v>
      </c>
      <c r="E11" s="4" t="n">
        <v>100</v>
      </c>
      <c r="F11" s="2" t="n">
        <v>20</v>
      </c>
      <c r="G11" s="2" t="n">
        <f aca="false">C11/F11</f>
        <v>0.5</v>
      </c>
      <c r="H11" s="2" t="n">
        <f aca="false">D11/F11</f>
        <v>1.25</v>
      </c>
      <c r="I11" s="2" t="n">
        <f aca="false">E11/F11</f>
        <v>5</v>
      </c>
    </row>
    <row r="12" customFormat="false" ht="15" hidden="false" customHeight="false" outlineLevel="0" collapsed="false">
      <c r="A12" s="2" t="s">
        <v>56</v>
      </c>
      <c r="B12" s="2" t="s">
        <v>57</v>
      </c>
      <c r="C12" s="4" t="n">
        <v>10</v>
      </c>
      <c r="D12" s="4" t="n">
        <v>25</v>
      </c>
      <c r="E12" s="4" t="n">
        <v>100</v>
      </c>
      <c r="F12" s="2" t="n">
        <v>20</v>
      </c>
      <c r="G12" s="2" t="n">
        <f aca="false">C12/F12</f>
        <v>0.5</v>
      </c>
      <c r="H12" s="2" t="n">
        <f aca="false">D12/F12</f>
        <v>1.25</v>
      </c>
      <c r="I12" s="2" t="n">
        <f aca="false">E12/F12</f>
        <v>5</v>
      </c>
    </row>
    <row r="13" customFormat="false" ht="15" hidden="false" customHeight="false" outlineLevel="0" collapsed="false">
      <c r="A13" s="2" t="s">
        <v>58</v>
      </c>
      <c r="B13" s="2" t="s">
        <v>59</v>
      </c>
      <c r="C13" s="4" t="n">
        <v>10</v>
      </c>
      <c r="D13" s="4" t="n">
        <v>20</v>
      </c>
      <c r="E13" s="4" t="n">
        <v>75</v>
      </c>
      <c r="F13" s="2" t="n">
        <v>20</v>
      </c>
      <c r="G13" s="2" t="n">
        <f aca="false">C13/F13</f>
        <v>0.5</v>
      </c>
      <c r="H13" s="2" t="n">
        <f aca="false">D13/F13</f>
        <v>1</v>
      </c>
      <c r="I13" s="2" t="n">
        <f aca="false">E13/F13</f>
        <v>3.75</v>
      </c>
    </row>
    <row r="14" customFormat="false" ht="15" hidden="false" customHeight="false" outlineLevel="0" collapsed="false">
      <c r="A14" s="2" t="s">
        <v>60</v>
      </c>
      <c r="B14" s="2" t="s">
        <v>61</v>
      </c>
      <c r="C14" s="4" t="n">
        <v>10</v>
      </c>
      <c r="D14" s="4" t="n">
        <v>20</v>
      </c>
      <c r="E14" s="4" t="n">
        <v>75</v>
      </c>
      <c r="F14" s="2" t="n">
        <v>20</v>
      </c>
      <c r="G14" s="2" t="n">
        <f aca="false">C14/F14</f>
        <v>0.5</v>
      </c>
      <c r="H14" s="2" t="n">
        <f aca="false">D14/F14</f>
        <v>1</v>
      </c>
      <c r="I14" s="2" t="n">
        <f aca="false">E14/F14</f>
        <v>3.75</v>
      </c>
    </row>
    <row r="16" customFormat="false" ht="15" hidden="false" customHeight="false" outlineLevel="0" collapsed="false">
      <c r="A16" s="7" t="s">
        <v>62</v>
      </c>
    </row>
    <row r="17" customFormat="false" ht="39.55" hidden="false" customHeight="false" outlineLevel="0" collapsed="false">
      <c r="A17" s="3" t="s">
        <v>63</v>
      </c>
      <c r="B17" s="3" t="s">
        <v>64</v>
      </c>
      <c r="C17" s="3" t="s">
        <v>65</v>
      </c>
      <c r="D17" s="3" t="s">
        <v>66</v>
      </c>
    </row>
    <row r="18" customFormat="false" ht="15" hidden="false" customHeight="false" outlineLevel="0" collapsed="false">
      <c r="A18" s="0" t="n">
        <v>3</v>
      </c>
      <c r="B18" s="0" t="n">
        <v>2</v>
      </c>
      <c r="C18" s="0" t="n">
        <v>10</v>
      </c>
      <c r="D18" s="0" t="n">
        <v>5</v>
      </c>
    </row>
    <row r="19" customFormat="false" ht="15" hidden="false" customHeight="false" outlineLevel="0" collapsed="false">
      <c r="A19" s="0" t="n">
        <v>4</v>
      </c>
      <c r="B19" s="0" t="n">
        <v>10</v>
      </c>
      <c r="C19" s="0" t="n">
        <v>12</v>
      </c>
      <c r="D19" s="0" t="n">
        <v>5</v>
      </c>
    </row>
    <row r="20" customFormat="false" ht="15" hidden="false" customHeight="false" outlineLevel="0" collapsed="false">
      <c r="A20" s="0" t="n">
        <v>5</v>
      </c>
      <c r="B20" s="0" t="n">
        <v>50</v>
      </c>
      <c r="C20" s="0" t="n">
        <v>15</v>
      </c>
      <c r="D20" s="0" t="n">
        <v>5</v>
      </c>
    </row>
    <row r="21" customFormat="false" ht="15" hidden="false" customHeight="false" outlineLevel="0" collapsed="false">
      <c r="A21" s="0" t="n">
        <v>2</v>
      </c>
      <c r="B21" s="0" t="n">
        <v>0</v>
      </c>
      <c r="C21" s="0" t="n">
        <v>0</v>
      </c>
      <c r="D21" s="0" t="n">
        <v>3</v>
      </c>
    </row>
    <row r="23" customFormat="false" ht="15" hidden="false" customHeight="false" outlineLevel="0" collapsed="false">
      <c r="A23" s="2" t="s">
        <v>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26"/>
  </cols>
  <sheetData>
    <row r="1" customFormat="false" ht="16.15" hidden="false" customHeight="false" outlineLevel="0" collapsed="false">
      <c r="A1" s="1" t="s">
        <v>68</v>
      </c>
    </row>
    <row r="3" customFormat="false" ht="15" hidden="false" customHeight="false" outlineLevel="0" collapsed="false">
      <c r="A3" s="2" t="s">
        <v>69</v>
      </c>
      <c r="B3" s="8" t="n">
        <v>0.25</v>
      </c>
    </row>
    <row r="4" customFormat="false" ht="15" hidden="false" customHeight="false" outlineLevel="0" collapsed="false">
      <c r="A4" s="2" t="s">
        <v>70</v>
      </c>
      <c r="B4" s="8" t="n">
        <v>0.2</v>
      </c>
    </row>
    <row r="5" customFormat="false" ht="15" hidden="false" customHeight="false" outlineLevel="0" collapsed="false">
      <c r="A5" s="2" t="s">
        <v>71</v>
      </c>
      <c r="B5" s="4" t="s">
        <v>72</v>
      </c>
    </row>
    <row r="6" customFormat="false" ht="15" hidden="false" customHeight="false" outlineLevel="0" collapsed="false">
      <c r="A6" s="2" t="s">
        <v>73</v>
      </c>
      <c r="B6" s="4" t="n">
        <v>15000</v>
      </c>
    </row>
    <row r="7" customFormat="false" ht="15" hidden="false" customHeight="false" outlineLevel="0" collapsed="false">
      <c r="A7" s="2" t="s">
        <v>74</v>
      </c>
      <c r="B7" s="4" t="n">
        <v>10</v>
      </c>
    </row>
    <row r="8" customFormat="false" ht="15" hidden="false" customHeight="false" outlineLevel="0" collapsed="false">
      <c r="A8" s="2" t="s">
        <v>75</v>
      </c>
      <c r="B8" s="4" t="s">
        <v>76</v>
      </c>
    </row>
    <row r="9" customFormat="false" ht="15" hidden="false" customHeight="false" outlineLevel="0" collapsed="false">
      <c r="A9" s="2" t="s">
        <v>77</v>
      </c>
      <c r="B9" s="4" t="s">
        <v>78</v>
      </c>
    </row>
    <row r="10" customFormat="false" ht="15" hidden="false" customHeight="false" outlineLevel="0" collapsed="false">
      <c r="A10" s="2" t="s">
        <v>79</v>
      </c>
      <c r="B10" s="4" t="n">
        <v>10</v>
      </c>
    </row>
    <row r="11" customFormat="false" ht="15" hidden="false" customHeight="false" outlineLevel="0" collapsed="false">
      <c r="A11" s="2" t="s">
        <v>80</v>
      </c>
      <c r="B11" s="4" t="s">
        <v>76</v>
      </c>
    </row>
    <row r="12" customFormat="false" ht="15" hidden="false" customHeight="false" outlineLevel="0" collapsed="false">
      <c r="A12" s="2" t="s">
        <v>81</v>
      </c>
      <c r="B12" s="4" t="s">
        <v>82</v>
      </c>
    </row>
    <row r="13" customFormat="false" ht="15" hidden="false" customHeight="false" outlineLevel="0" collapsed="false">
      <c r="A13" s="2" t="s">
        <v>83</v>
      </c>
      <c r="B13" s="4" t="n">
        <v>12</v>
      </c>
    </row>
    <row r="14" customFormat="false" ht="15" hidden="false" customHeight="false" outlineLevel="0" collapsed="false">
      <c r="A14" s="2" t="s">
        <v>84</v>
      </c>
      <c r="B14" s="4" t="s">
        <v>85</v>
      </c>
    </row>
    <row r="15" customFormat="false" ht="15" hidden="false" customHeight="false" outlineLevel="0" collapsed="false">
      <c r="A15" s="2" t="s">
        <v>86</v>
      </c>
      <c r="B15" s="4" t="s">
        <v>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6.15" hidden="false" customHeight="false" outlineLevel="0" collapsed="false">
      <c r="A1" s="1" t="s">
        <v>88</v>
      </c>
    </row>
    <row r="3" customFormat="false" ht="15" hidden="false" customHeight="false" outlineLevel="0" collapsed="false">
      <c r="A3" s="7" t="s">
        <v>89</v>
      </c>
    </row>
    <row r="4" customFormat="false" ht="26.85" hidden="false" customHeight="false" outlineLevel="0" collapsed="false">
      <c r="A4" s="3" t="s">
        <v>31</v>
      </c>
      <c r="B4" s="3" t="s">
        <v>90</v>
      </c>
      <c r="C4" s="3" t="s">
        <v>91</v>
      </c>
      <c r="D4" s="3" t="s">
        <v>92</v>
      </c>
      <c r="E4" s="3" t="s">
        <v>93</v>
      </c>
      <c r="F4" s="3" t="s">
        <v>94</v>
      </c>
    </row>
    <row r="5" customFormat="false" ht="15" hidden="false" customHeight="false" outlineLevel="0" collapsed="false">
      <c r="A5" s="2" t="s">
        <v>40</v>
      </c>
      <c r="B5" s="2" t="n">
        <v>3</v>
      </c>
      <c r="C5" s="2" t="n">
        <v>3</v>
      </c>
      <c r="D5" s="2" t="n">
        <v>3</v>
      </c>
      <c r="E5" s="2" t="n">
        <v>3</v>
      </c>
      <c r="F5" s="2" t="n">
        <v>3</v>
      </c>
    </row>
    <row r="6" customFormat="false" ht="15" hidden="false" customHeight="false" outlineLevel="0" collapsed="false">
      <c r="A6" s="2" t="s">
        <v>42</v>
      </c>
      <c r="B6" s="2" t="n">
        <v>4</v>
      </c>
      <c r="C6" s="2" t="n">
        <v>4</v>
      </c>
      <c r="D6" s="2" t="n">
        <v>4</v>
      </c>
      <c r="E6" s="2" t="n">
        <v>4</v>
      </c>
      <c r="F6" s="2" t="n">
        <v>4</v>
      </c>
    </row>
    <row r="7" customFormat="false" ht="15" hidden="false" customHeight="false" outlineLevel="0" collapsed="false">
      <c r="A7" s="2" t="s">
        <v>44</v>
      </c>
      <c r="B7" s="2" t="n">
        <v>5</v>
      </c>
      <c r="C7" s="2" t="n">
        <v>5</v>
      </c>
      <c r="D7" s="2" t="n">
        <v>5</v>
      </c>
      <c r="E7" s="2" t="n">
        <v>5</v>
      </c>
      <c r="F7" s="2" t="n">
        <v>5</v>
      </c>
    </row>
    <row r="8" customFormat="false" ht="15" hidden="false" customHeight="false" outlineLevel="0" collapsed="false">
      <c r="A8" s="2" t="s">
        <v>46</v>
      </c>
      <c r="B8" s="2" t="n">
        <v>5</v>
      </c>
      <c r="C8" s="2" t="n">
        <v>5</v>
      </c>
      <c r="D8" s="2" t="n">
        <v>5</v>
      </c>
      <c r="E8" s="2" t="n">
        <v>5</v>
      </c>
      <c r="F8" s="2" t="n">
        <v>5</v>
      </c>
    </row>
    <row r="9" customFormat="false" ht="15" hidden="false" customHeight="false" outlineLevel="0" collapsed="false">
      <c r="A9" s="2" t="s">
        <v>48</v>
      </c>
      <c r="B9" s="2" t="n">
        <v>6</v>
      </c>
      <c r="C9" s="2" t="n">
        <v>6</v>
      </c>
      <c r="D9" s="2" t="n">
        <v>6</v>
      </c>
      <c r="E9" s="2" t="n">
        <v>6</v>
      </c>
      <c r="F9" s="2" t="n">
        <v>6</v>
      </c>
    </row>
    <row r="10" customFormat="false" ht="15" hidden="false" customHeight="false" outlineLevel="0" collapsed="false">
      <c r="A10" s="2" t="s">
        <v>50</v>
      </c>
      <c r="B10" s="2" t="n">
        <v>7</v>
      </c>
      <c r="C10" s="2" t="n">
        <v>7</v>
      </c>
      <c r="D10" s="2" t="n">
        <v>7</v>
      </c>
      <c r="E10" s="2" t="n">
        <v>7</v>
      </c>
      <c r="F10" s="2" t="n">
        <v>7</v>
      </c>
    </row>
    <row r="11" customFormat="false" ht="15" hidden="false" customHeight="false" outlineLevel="0" collapsed="false">
      <c r="A11" s="2" t="s">
        <v>52</v>
      </c>
      <c r="B11" s="2" t="n">
        <v>7</v>
      </c>
      <c r="C11" s="2" t="n">
        <v>7</v>
      </c>
      <c r="D11" s="2" t="n">
        <v>7</v>
      </c>
      <c r="E11" s="2" t="n">
        <v>7</v>
      </c>
      <c r="F11" s="2" t="n">
        <v>7</v>
      </c>
    </row>
    <row r="12" customFormat="false" ht="15" hidden="false" customHeight="false" outlineLevel="0" collapsed="false">
      <c r="A12" s="2" t="s">
        <v>54</v>
      </c>
      <c r="B12" s="2" t="n">
        <v>9</v>
      </c>
      <c r="C12" s="2" t="n">
        <v>9</v>
      </c>
      <c r="D12" s="2" t="n">
        <v>9</v>
      </c>
      <c r="E12" s="2" t="n">
        <v>9</v>
      </c>
      <c r="F12" s="2" t="n">
        <v>9</v>
      </c>
    </row>
    <row r="13" customFormat="false" ht="15" hidden="false" customHeight="false" outlineLevel="0" collapsed="false">
      <c r="A13" s="2" t="s">
        <v>56</v>
      </c>
      <c r="B13" s="2" t="n">
        <v>9</v>
      </c>
      <c r="C13" s="2" t="n">
        <v>9</v>
      </c>
      <c r="D13" s="2" t="n">
        <v>9</v>
      </c>
      <c r="E13" s="2" t="n">
        <v>9</v>
      </c>
      <c r="F13" s="2" t="n">
        <v>9</v>
      </c>
    </row>
    <row r="14" customFormat="false" ht="15" hidden="false" customHeight="false" outlineLevel="0" collapsed="false">
      <c r="A14" s="2" t="s">
        <v>58</v>
      </c>
      <c r="B14" s="2" t="n">
        <v>10</v>
      </c>
      <c r="C14" s="2" t="n">
        <v>10</v>
      </c>
      <c r="D14" s="2" t="n">
        <v>10</v>
      </c>
      <c r="E14" s="2" t="n">
        <v>10</v>
      </c>
      <c r="F14" s="2" t="n">
        <v>11</v>
      </c>
    </row>
    <row r="15" customFormat="false" ht="15" hidden="false" customHeight="false" outlineLevel="0" collapsed="false">
      <c r="A15" s="2" t="s">
        <v>60</v>
      </c>
      <c r="B15" s="2" t="n">
        <v>10</v>
      </c>
      <c r="C15" s="2" t="n">
        <v>10</v>
      </c>
      <c r="D15" s="2" t="n">
        <v>10</v>
      </c>
      <c r="E15" s="2" t="n">
        <v>10</v>
      </c>
      <c r="F15" s="2" t="n">
        <v>11</v>
      </c>
    </row>
    <row r="16" customFormat="false" ht="15" hidden="false" customHeight="false" outlineLevel="0" collapsed="false">
      <c r="A16" s="2" t="s">
        <v>95</v>
      </c>
      <c r="B16" s="2" t="n">
        <v>0</v>
      </c>
      <c r="C16" s="2" t="n">
        <v>6</v>
      </c>
      <c r="D16" s="2" t="n">
        <v>6</v>
      </c>
      <c r="E16" s="2" t="n">
        <v>6</v>
      </c>
      <c r="F16" s="2" t="n">
        <v>0</v>
      </c>
    </row>
    <row r="17" customFormat="false" ht="15" hidden="false" customHeight="false" outlineLevel="0" collapsed="false">
      <c r="A17" s="2" t="s">
        <v>96</v>
      </c>
      <c r="B17" s="2" t="n">
        <v>2</v>
      </c>
      <c r="C17" s="2" t="n">
        <v>2</v>
      </c>
      <c r="D17" s="2" t="n">
        <v>2</v>
      </c>
      <c r="E17" s="2" t="n">
        <v>2</v>
      </c>
      <c r="F17" s="2" t="n">
        <v>2</v>
      </c>
    </row>
    <row r="18" customFormat="false" ht="15" hidden="false" customHeight="false" outlineLevel="0" collapsed="false">
      <c r="A18" s="2" t="s">
        <v>97</v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</row>
    <row r="19" customFormat="false" ht="15" hidden="false" customHeight="false" outlineLevel="0" collapsed="false">
      <c r="A19" s="7" t="s">
        <v>98</v>
      </c>
      <c r="B19" s="7" t="n">
        <f aca="false">SUM(B5:B18)</f>
        <v>77</v>
      </c>
      <c r="C19" s="7" t="n">
        <f aca="false">SUM(C5:C18)</f>
        <v>83</v>
      </c>
      <c r="D19" s="7" t="n">
        <f aca="false">SUM(D5:D18)</f>
        <v>83</v>
      </c>
      <c r="E19" s="7" t="n">
        <f aca="false">SUM(E5:E18)</f>
        <v>83</v>
      </c>
      <c r="F19" s="7" t="n">
        <f aca="false">SUM(F5:F18)</f>
        <v>79</v>
      </c>
    </row>
    <row r="21" customFormat="false" ht="15" hidden="false" customHeight="false" outlineLevel="0" collapsed="false">
      <c r="A21" s="7" t="s">
        <v>99</v>
      </c>
    </row>
    <row r="22" customFormat="false" ht="26.85" hidden="false" customHeight="false" outlineLevel="0" collapsed="false">
      <c r="A22" s="3" t="s">
        <v>31</v>
      </c>
      <c r="B22" s="3" t="s">
        <v>90</v>
      </c>
      <c r="C22" s="3" t="s">
        <v>91</v>
      </c>
      <c r="D22" s="3" t="s">
        <v>92</v>
      </c>
      <c r="E22" s="3" t="s">
        <v>93</v>
      </c>
      <c r="F22" s="3" t="s">
        <v>94</v>
      </c>
    </row>
    <row r="23" customFormat="false" ht="15" hidden="false" customHeight="false" outlineLevel="0" collapsed="false">
      <c r="A23" s="2" t="s">
        <v>40</v>
      </c>
      <c r="B23" s="2" t="n">
        <v>3</v>
      </c>
      <c r="C23" s="2" t="n">
        <v>3</v>
      </c>
      <c r="D23" s="2" t="n">
        <v>3</v>
      </c>
      <c r="E23" s="2" t="n">
        <v>3</v>
      </c>
      <c r="F23" s="2" t="n">
        <v>3</v>
      </c>
    </row>
    <row r="24" customFormat="false" ht="15" hidden="false" customHeight="false" outlineLevel="0" collapsed="false">
      <c r="A24" s="2" t="s">
        <v>42</v>
      </c>
      <c r="B24" s="2" t="n">
        <v>4</v>
      </c>
      <c r="C24" s="2" t="n">
        <v>4</v>
      </c>
      <c r="D24" s="2" t="n">
        <v>4</v>
      </c>
      <c r="E24" s="2" t="n">
        <v>4</v>
      </c>
      <c r="F24" s="2" t="n">
        <v>4</v>
      </c>
    </row>
    <row r="25" customFormat="false" ht="15" hidden="false" customHeight="false" outlineLevel="0" collapsed="false">
      <c r="A25" s="2" t="s">
        <v>44</v>
      </c>
      <c r="B25" s="2" t="n">
        <v>5</v>
      </c>
      <c r="C25" s="2" t="n">
        <v>5</v>
      </c>
      <c r="D25" s="2" t="n">
        <v>5</v>
      </c>
      <c r="E25" s="2" t="n">
        <v>5</v>
      </c>
      <c r="F25" s="2" t="n">
        <v>5</v>
      </c>
    </row>
    <row r="26" customFormat="false" ht="15" hidden="false" customHeight="false" outlineLevel="0" collapsed="false">
      <c r="A26" s="2" t="s">
        <v>46</v>
      </c>
      <c r="B26" s="2" t="n">
        <v>5</v>
      </c>
      <c r="C26" s="2" t="n">
        <v>5</v>
      </c>
      <c r="D26" s="2" t="n">
        <v>5</v>
      </c>
      <c r="E26" s="2" t="n">
        <v>5</v>
      </c>
      <c r="F26" s="2" t="n">
        <v>5</v>
      </c>
    </row>
    <row r="27" customFormat="false" ht="15" hidden="false" customHeight="false" outlineLevel="0" collapsed="false">
      <c r="A27" s="2" t="s">
        <v>48</v>
      </c>
      <c r="B27" s="2" t="n">
        <v>6</v>
      </c>
      <c r="C27" s="2" t="n">
        <v>6</v>
      </c>
      <c r="D27" s="2" t="n">
        <v>6</v>
      </c>
      <c r="E27" s="2" t="n">
        <v>6</v>
      </c>
      <c r="F27" s="2" t="n">
        <v>6</v>
      </c>
    </row>
    <row r="28" customFormat="false" ht="15" hidden="false" customHeight="false" outlineLevel="0" collapsed="false">
      <c r="A28" s="2" t="s">
        <v>50</v>
      </c>
      <c r="B28" s="2" t="n">
        <v>7</v>
      </c>
      <c r="C28" s="2" t="n">
        <v>7</v>
      </c>
      <c r="D28" s="2" t="n">
        <v>7</v>
      </c>
      <c r="E28" s="2" t="n">
        <v>7</v>
      </c>
      <c r="F28" s="2" t="n">
        <v>7</v>
      </c>
    </row>
    <row r="29" customFormat="false" ht="15" hidden="false" customHeight="false" outlineLevel="0" collapsed="false">
      <c r="A29" s="2" t="s">
        <v>52</v>
      </c>
      <c r="B29" s="2" t="n">
        <v>7</v>
      </c>
      <c r="C29" s="2" t="n">
        <v>7</v>
      </c>
      <c r="D29" s="2" t="n">
        <v>7</v>
      </c>
      <c r="E29" s="2" t="n">
        <v>7</v>
      </c>
      <c r="F29" s="2" t="n">
        <v>7</v>
      </c>
    </row>
    <row r="30" customFormat="false" ht="15" hidden="false" customHeight="false" outlineLevel="0" collapsed="false">
      <c r="A30" s="2" t="s">
        <v>54</v>
      </c>
      <c r="B30" s="2" t="n">
        <v>9</v>
      </c>
      <c r="C30" s="2" t="n">
        <v>9</v>
      </c>
      <c r="D30" s="2" t="n">
        <v>9</v>
      </c>
      <c r="E30" s="2" t="n">
        <v>9</v>
      </c>
      <c r="F30" s="2" t="n">
        <v>9</v>
      </c>
    </row>
    <row r="31" customFormat="false" ht="15" hidden="false" customHeight="false" outlineLevel="0" collapsed="false">
      <c r="A31" s="2" t="s">
        <v>56</v>
      </c>
      <c r="B31" s="2" t="n">
        <v>9</v>
      </c>
      <c r="C31" s="2" t="n">
        <v>9</v>
      </c>
      <c r="D31" s="2" t="n">
        <v>9</v>
      </c>
      <c r="E31" s="2" t="n">
        <v>9</v>
      </c>
      <c r="F31" s="2" t="n">
        <v>9</v>
      </c>
    </row>
    <row r="32" customFormat="false" ht="15" hidden="false" customHeight="false" outlineLevel="0" collapsed="false">
      <c r="A32" s="2" t="s">
        <v>58</v>
      </c>
      <c r="B32" s="2" t="n">
        <v>10</v>
      </c>
      <c r="C32" s="2" t="n">
        <v>10</v>
      </c>
      <c r="D32" s="2" t="n">
        <v>10</v>
      </c>
      <c r="E32" s="2" t="n">
        <v>10</v>
      </c>
      <c r="F32" s="2" t="n">
        <v>11</v>
      </c>
    </row>
    <row r="33" customFormat="false" ht="15" hidden="false" customHeight="false" outlineLevel="0" collapsed="false">
      <c r="A33" s="2" t="s">
        <v>60</v>
      </c>
      <c r="B33" s="2" t="n">
        <v>10</v>
      </c>
      <c r="C33" s="2" t="n">
        <v>10</v>
      </c>
      <c r="D33" s="2" t="n">
        <v>10</v>
      </c>
      <c r="E33" s="2" t="n">
        <v>10</v>
      </c>
      <c r="F33" s="2" t="n">
        <v>20</v>
      </c>
    </row>
    <row r="34" customFormat="false" ht="15" hidden="false" customHeight="false" outlineLevel="0" collapsed="false">
      <c r="A34" s="2" t="s">
        <v>95</v>
      </c>
      <c r="B34" s="2" t="n">
        <v>0</v>
      </c>
      <c r="C34" s="2" t="n">
        <v>6</v>
      </c>
      <c r="D34" s="2" t="n">
        <v>6</v>
      </c>
      <c r="E34" s="2" t="n">
        <v>6</v>
      </c>
      <c r="F34" s="2" t="n">
        <v>0</v>
      </c>
    </row>
    <row r="35" customFormat="false" ht="15" hidden="false" customHeight="false" outlineLevel="0" collapsed="false">
      <c r="A35" s="2" t="s">
        <v>96</v>
      </c>
      <c r="B35" s="2" t="n">
        <v>4</v>
      </c>
      <c r="C35" s="2" t="n">
        <v>4</v>
      </c>
      <c r="D35" s="2" t="n">
        <v>4</v>
      </c>
      <c r="E35" s="2" t="n">
        <v>4</v>
      </c>
      <c r="F35" s="2" t="n">
        <v>4</v>
      </c>
    </row>
    <row r="36" customFormat="false" ht="15" hidden="false" customHeight="false" outlineLevel="0" collapsed="false">
      <c r="A36" s="2" t="s">
        <v>97</v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</row>
    <row r="37" customFormat="false" ht="15" hidden="false" customHeight="false" outlineLevel="0" collapsed="false">
      <c r="A37" s="7" t="s">
        <v>98</v>
      </c>
      <c r="B37" s="7" t="n">
        <f aca="false">SUM(B23:B36)</f>
        <v>79</v>
      </c>
      <c r="C37" s="7" t="n">
        <f aca="false">SUM(C23:C36)</f>
        <v>85</v>
      </c>
      <c r="D37" s="7" t="n">
        <f aca="false">SUM(D23:D36)</f>
        <v>85</v>
      </c>
      <c r="E37" s="7" t="n">
        <f aca="false">SUM(E23:E36)</f>
        <v>85</v>
      </c>
      <c r="F37" s="7" t="n">
        <f aca="false">SUM(F23:F36)</f>
        <v>90</v>
      </c>
    </row>
    <row r="39" customFormat="false" ht="15" hidden="false" customHeight="false" outlineLevel="0" collapsed="false">
      <c r="A39" s="7" t="s">
        <v>100</v>
      </c>
    </row>
    <row r="40" customFormat="false" ht="26.85" hidden="false" customHeight="false" outlineLevel="0" collapsed="false">
      <c r="A40" s="3" t="s">
        <v>31</v>
      </c>
      <c r="B40" s="3" t="s">
        <v>90</v>
      </c>
      <c r="C40" s="3" t="s">
        <v>91</v>
      </c>
      <c r="D40" s="3" t="s">
        <v>92</v>
      </c>
      <c r="E40" s="3" t="s">
        <v>93</v>
      </c>
      <c r="F40" s="3" t="s">
        <v>94</v>
      </c>
    </row>
    <row r="41" customFormat="false" ht="15" hidden="false" customHeight="false" outlineLevel="0" collapsed="false">
      <c r="A41" s="2" t="s">
        <v>40</v>
      </c>
      <c r="B41" s="2" t="n">
        <v>4</v>
      </c>
      <c r="C41" s="2" t="n">
        <v>4</v>
      </c>
      <c r="D41" s="2" t="n">
        <v>4</v>
      </c>
      <c r="E41" s="2" t="n">
        <v>4</v>
      </c>
      <c r="F41" s="2" t="n">
        <v>4</v>
      </c>
    </row>
    <row r="42" customFormat="false" ht="15" hidden="false" customHeight="false" outlineLevel="0" collapsed="false">
      <c r="A42" s="2" t="s">
        <v>42</v>
      </c>
      <c r="B42" s="2" t="n">
        <v>5</v>
      </c>
      <c r="C42" s="2" t="n">
        <v>5</v>
      </c>
      <c r="D42" s="2" t="n">
        <v>5</v>
      </c>
      <c r="E42" s="2" t="n">
        <v>5</v>
      </c>
      <c r="F42" s="2" t="n">
        <v>5</v>
      </c>
    </row>
    <row r="43" customFormat="false" ht="15" hidden="false" customHeight="false" outlineLevel="0" collapsed="false">
      <c r="A43" s="2" t="s">
        <v>44</v>
      </c>
      <c r="B43" s="2" t="n">
        <v>6</v>
      </c>
      <c r="C43" s="2" t="n">
        <v>6</v>
      </c>
      <c r="D43" s="2" t="n">
        <v>6</v>
      </c>
      <c r="E43" s="2" t="n">
        <v>6</v>
      </c>
      <c r="F43" s="2" t="n">
        <v>6</v>
      </c>
    </row>
    <row r="44" customFormat="false" ht="15" hidden="false" customHeight="false" outlineLevel="0" collapsed="false">
      <c r="A44" s="2" t="s">
        <v>46</v>
      </c>
      <c r="B44" s="2" t="n">
        <v>6</v>
      </c>
      <c r="C44" s="2" t="n">
        <v>6</v>
      </c>
      <c r="D44" s="2" t="n">
        <v>6</v>
      </c>
      <c r="E44" s="2" t="n">
        <v>6</v>
      </c>
      <c r="F44" s="2" t="n">
        <v>6</v>
      </c>
    </row>
    <row r="45" customFormat="false" ht="15" hidden="false" customHeight="false" outlineLevel="0" collapsed="false">
      <c r="A45" s="2" t="s">
        <v>48</v>
      </c>
      <c r="B45" s="2" t="n">
        <v>7</v>
      </c>
      <c r="C45" s="2" t="n">
        <v>7</v>
      </c>
      <c r="D45" s="2" t="n">
        <v>7</v>
      </c>
      <c r="E45" s="2" t="n">
        <v>7</v>
      </c>
      <c r="F45" s="2" t="n">
        <v>7</v>
      </c>
    </row>
    <row r="46" customFormat="false" ht="15" hidden="false" customHeight="false" outlineLevel="0" collapsed="false">
      <c r="A46" s="2" t="s">
        <v>50</v>
      </c>
      <c r="B46" s="2" t="n">
        <v>7</v>
      </c>
      <c r="C46" s="2" t="n">
        <v>7</v>
      </c>
      <c r="D46" s="2" t="n">
        <v>7</v>
      </c>
      <c r="E46" s="2" t="n">
        <v>7</v>
      </c>
      <c r="F46" s="2" t="n">
        <v>7</v>
      </c>
    </row>
    <row r="47" customFormat="false" ht="15" hidden="false" customHeight="false" outlineLevel="0" collapsed="false">
      <c r="A47" s="2" t="s">
        <v>52</v>
      </c>
      <c r="B47" s="2" t="n">
        <v>7</v>
      </c>
      <c r="C47" s="2" t="n">
        <v>7</v>
      </c>
      <c r="D47" s="2" t="n">
        <v>7</v>
      </c>
      <c r="E47" s="2" t="n">
        <v>7</v>
      </c>
      <c r="F47" s="2" t="n">
        <v>7</v>
      </c>
    </row>
    <row r="48" customFormat="false" ht="15" hidden="false" customHeight="false" outlineLevel="0" collapsed="false">
      <c r="A48" s="2" t="s">
        <v>54</v>
      </c>
      <c r="B48" s="2" t="n">
        <v>7</v>
      </c>
      <c r="C48" s="2" t="n">
        <v>7</v>
      </c>
      <c r="D48" s="2" t="n">
        <v>7</v>
      </c>
      <c r="E48" s="2" t="n">
        <v>7</v>
      </c>
      <c r="F48" s="2" t="n">
        <v>7</v>
      </c>
    </row>
    <row r="49" customFormat="false" ht="15" hidden="false" customHeight="false" outlineLevel="0" collapsed="false">
      <c r="A49" s="2" t="s">
        <v>56</v>
      </c>
      <c r="B49" s="2" t="n">
        <v>7</v>
      </c>
      <c r="C49" s="2" t="n">
        <v>7</v>
      </c>
      <c r="D49" s="2" t="n">
        <v>7</v>
      </c>
      <c r="E49" s="2" t="n">
        <v>7</v>
      </c>
      <c r="F49" s="2" t="n">
        <v>7</v>
      </c>
    </row>
    <row r="50" customFormat="false" ht="15" hidden="false" customHeight="false" outlineLevel="0" collapsed="false">
      <c r="A50" s="2" t="s">
        <v>58</v>
      </c>
      <c r="B50" s="2" t="n">
        <v>7</v>
      </c>
      <c r="C50" s="2" t="n">
        <v>7</v>
      </c>
      <c r="D50" s="2" t="n">
        <v>7</v>
      </c>
      <c r="E50" s="2" t="n">
        <v>7</v>
      </c>
      <c r="F50" s="2" t="n">
        <v>7</v>
      </c>
    </row>
    <row r="51" customFormat="false" ht="15" hidden="false" customHeight="false" outlineLevel="0" collapsed="false">
      <c r="A51" s="2" t="s">
        <v>60</v>
      </c>
      <c r="B51" s="2" t="n">
        <v>7</v>
      </c>
      <c r="C51" s="2" t="n">
        <v>7</v>
      </c>
      <c r="D51" s="2" t="n">
        <v>7</v>
      </c>
      <c r="E51" s="2" t="n">
        <v>7</v>
      </c>
      <c r="F51" s="2" t="n">
        <v>7</v>
      </c>
    </row>
    <row r="52" customFormat="false" ht="15" hidden="false" customHeight="false" outlineLevel="0" collapsed="false">
      <c r="A52" s="2" t="s">
        <v>95</v>
      </c>
      <c r="B52" s="2" t="n">
        <v>0</v>
      </c>
      <c r="C52" s="2" t="n">
        <v>10</v>
      </c>
      <c r="D52" s="2" t="n">
        <v>10</v>
      </c>
      <c r="E52" s="2" t="n">
        <v>10</v>
      </c>
      <c r="F52" s="2" t="n">
        <v>0</v>
      </c>
    </row>
    <row r="53" customFormat="false" ht="15" hidden="false" customHeight="false" outlineLevel="0" collapsed="false">
      <c r="A53" s="2" t="s">
        <v>96</v>
      </c>
      <c r="B53" s="2" t="n">
        <v>2</v>
      </c>
      <c r="C53" s="2" t="n">
        <v>2</v>
      </c>
      <c r="D53" s="2" t="n">
        <v>2</v>
      </c>
      <c r="E53" s="2" t="n">
        <v>2</v>
      </c>
      <c r="F53" s="2" t="n">
        <v>2</v>
      </c>
    </row>
    <row r="54" customFormat="false" ht="15" hidden="false" customHeight="false" outlineLevel="0" collapsed="false">
      <c r="A54" s="2" t="s">
        <v>97</v>
      </c>
      <c r="B54" s="2" t="n">
        <v>0</v>
      </c>
      <c r="C54" s="2" t="n">
        <v>0</v>
      </c>
      <c r="D54" s="2" t="n">
        <v>0</v>
      </c>
      <c r="E54" s="2" t="n">
        <v>0</v>
      </c>
      <c r="F54" s="2" t="n">
        <v>6</v>
      </c>
    </row>
    <row r="55" customFormat="false" ht="15" hidden="false" customHeight="false" outlineLevel="0" collapsed="false">
      <c r="A55" s="7" t="s">
        <v>98</v>
      </c>
      <c r="B55" s="7" t="n">
        <f aca="false">SUM(B41:B54)</f>
        <v>72</v>
      </c>
      <c r="C55" s="7" t="n">
        <f aca="false">SUM(C41:C54)</f>
        <v>82</v>
      </c>
      <c r="D55" s="7" t="n">
        <f aca="false">SUM(D41:D54)</f>
        <v>82</v>
      </c>
      <c r="E55" s="7" t="n">
        <f aca="false">SUM(E41:E54)</f>
        <v>82</v>
      </c>
      <c r="F55" s="7" t="n">
        <f aca="false">SUM(F41:F54)</f>
        <v>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26.85" hidden="false" customHeight="false" outlineLevel="0" collapsed="false">
      <c r="A1" s="3" t="s">
        <v>101</v>
      </c>
      <c r="B1" s="3" t="s">
        <v>90</v>
      </c>
      <c r="C1" s="3" t="s">
        <v>91</v>
      </c>
      <c r="D1" s="3" t="s">
        <v>92</v>
      </c>
      <c r="E1" s="3" t="s">
        <v>93</v>
      </c>
      <c r="F1" s="3" t="s">
        <v>94</v>
      </c>
    </row>
    <row r="2" customFormat="false" ht="15" hidden="false" customHeight="false" outlineLevel="0" collapsed="false">
      <c r="A2" s="0" t="n">
        <v>0</v>
      </c>
      <c r="B2" s="0" t="s">
        <v>96</v>
      </c>
      <c r="C2" s="0" t="s">
        <v>58</v>
      </c>
      <c r="D2" s="0" t="s">
        <v>50</v>
      </c>
      <c r="E2" s="0" t="s">
        <v>44</v>
      </c>
      <c r="F2" s="0" t="s">
        <v>58</v>
      </c>
    </row>
    <row r="3" customFormat="false" ht="15" hidden="false" customHeight="false" outlineLevel="0" collapsed="false">
      <c r="A3" s="0" t="n">
        <v>1</v>
      </c>
      <c r="B3" s="0" t="s">
        <v>46</v>
      </c>
      <c r="C3" s="0" t="s">
        <v>58</v>
      </c>
      <c r="D3" s="0" t="s">
        <v>46</v>
      </c>
      <c r="E3" s="0" t="s">
        <v>44</v>
      </c>
      <c r="F3" s="0" t="s">
        <v>58</v>
      </c>
    </row>
    <row r="4" customFormat="false" ht="15" hidden="false" customHeight="false" outlineLevel="0" collapsed="false">
      <c r="A4" s="0" t="n">
        <v>2</v>
      </c>
      <c r="B4" s="0" t="s">
        <v>46</v>
      </c>
      <c r="C4" s="0" t="s">
        <v>54</v>
      </c>
      <c r="D4" s="0" t="s">
        <v>58</v>
      </c>
      <c r="E4" s="0" t="s">
        <v>96</v>
      </c>
      <c r="F4" s="0" t="s">
        <v>44</v>
      </c>
    </row>
    <row r="5" customFormat="false" ht="15" hidden="false" customHeight="false" outlineLevel="0" collapsed="false">
      <c r="A5" s="0" t="n">
        <v>3</v>
      </c>
      <c r="B5" s="0" t="s">
        <v>50</v>
      </c>
      <c r="C5" s="0" t="s">
        <v>42</v>
      </c>
      <c r="D5" s="0" t="s">
        <v>58</v>
      </c>
      <c r="E5" s="0" t="s">
        <v>50</v>
      </c>
      <c r="F5" s="0" t="s">
        <v>56</v>
      </c>
    </row>
    <row r="6" customFormat="false" ht="15" hidden="false" customHeight="false" outlineLevel="0" collapsed="false">
      <c r="A6" s="0" t="n">
        <v>4</v>
      </c>
      <c r="B6" s="0" t="s">
        <v>52</v>
      </c>
      <c r="C6" s="0" t="s">
        <v>42</v>
      </c>
      <c r="D6" s="0" t="s">
        <v>95</v>
      </c>
      <c r="E6" s="0" t="s">
        <v>46</v>
      </c>
      <c r="F6" s="0" t="s">
        <v>56</v>
      </c>
    </row>
    <row r="7" customFormat="false" ht="15" hidden="false" customHeight="false" outlineLevel="0" collapsed="false">
      <c r="A7" s="0" t="n">
        <v>5</v>
      </c>
      <c r="B7" s="0" t="s">
        <v>54</v>
      </c>
      <c r="C7" s="0" t="s">
        <v>52</v>
      </c>
      <c r="D7" s="0" t="s">
        <v>96</v>
      </c>
      <c r="E7" s="0" t="s">
        <v>48</v>
      </c>
      <c r="F7" s="0" t="s">
        <v>50</v>
      </c>
    </row>
    <row r="8" customFormat="false" ht="15" hidden="false" customHeight="false" outlineLevel="0" collapsed="false">
      <c r="A8" s="0" t="n">
        <v>6</v>
      </c>
      <c r="B8" s="0" t="s">
        <v>54</v>
      </c>
      <c r="C8" s="0" t="s">
        <v>52</v>
      </c>
      <c r="D8" s="0" t="s">
        <v>58</v>
      </c>
      <c r="E8" s="0" t="s">
        <v>58</v>
      </c>
      <c r="F8" s="0" t="s">
        <v>48</v>
      </c>
    </row>
    <row r="9" customFormat="false" ht="15" hidden="false" customHeight="false" outlineLevel="0" collapsed="false">
      <c r="A9" s="0" t="n">
        <v>7</v>
      </c>
      <c r="B9" s="0" t="s">
        <v>56</v>
      </c>
      <c r="C9" s="0" t="s">
        <v>60</v>
      </c>
      <c r="D9" s="0" t="s">
        <v>44</v>
      </c>
      <c r="E9" s="0" t="s">
        <v>58</v>
      </c>
      <c r="F9" s="0" t="s">
        <v>54</v>
      </c>
    </row>
    <row r="10" customFormat="false" ht="15" hidden="false" customHeight="false" outlineLevel="0" collapsed="false">
      <c r="A10" s="0" t="n">
        <v>8</v>
      </c>
      <c r="B10" s="0" t="s">
        <v>56</v>
      </c>
      <c r="C10" s="0" t="s">
        <v>46</v>
      </c>
      <c r="D10" s="0" t="s">
        <v>44</v>
      </c>
      <c r="E10" s="0" t="s">
        <v>48</v>
      </c>
      <c r="F10" s="0" t="s">
        <v>58</v>
      </c>
    </row>
    <row r="11" customFormat="false" ht="15" hidden="false" customHeight="false" outlineLevel="0" collapsed="false">
      <c r="A11" s="0" t="n">
        <v>9</v>
      </c>
      <c r="B11" s="0" t="s">
        <v>58</v>
      </c>
      <c r="C11" s="0" t="s">
        <v>56</v>
      </c>
      <c r="D11" s="0" t="s">
        <v>44</v>
      </c>
      <c r="E11" s="0" t="s">
        <v>42</v>
      </c>
      <c r="F11" s="0" t="s">
        <v>58</v>
      </c>
    </row>
    <row r="12" customFormat="false" ht="15" hidden="false" customHeight="false" outlineLevel="0" collapsed="false">
      <c r="A12" s="0" t="n">
        <v>10</v>
      </c>
      <c r="B12" s="0" t="s">
        <v>58</v>
      </c>
      <c r="C12" s="0" t="s">
        <v>60</v>
      </c>
      <c r="D12" s="0" t="s">
        <v>58</v>
      </c>
      <c r="E12" s="0" t="s">
        <v>42</v>
      </c>
      <c r="F12" s="0" t="s">
        <v>60</v>
      </c>
    </row>
    <row r="13" customFormat="false" ht="15" hidden="false" customHeight="false" outlineLevel="0" collapsed="false">
      <c r="A13" s="0" t="n">
        <v>11</v>
      </c>
      <c r="B13" s="0" t="s">
        <v>42</v>
      </c>
      <c r="C13" s="0" t="s">
        <v>52</v>
      </c>
      <c r="D13" s="0" t="s">
        <v>58</v>
      </c>
      <c r="E13" s="0" t="s">
        <v>52</v>
      </c>
      <c r="F13" s="0" t="s">
        <v>60</v>
      </c>
    </row>
    <row r="14" customFormat="false" ht="15" hidden="false" customHeight="false" outlineLevel="0" collapsed="false">
      <c r="A14" s="0" t="n">
        <v>12</v>
      </c>
      <c r="B14" s="0" t="s">
        <v>58</v>
      </c>
      <c r="C14" s="0" t="s">
        <v>58</v>
      </c>
      <c r="D14" s="0" t="s">
        <v>95</v>
      </c>
      <c r="E14" s="0" t="s">
        <v>52</v>
      </c>
      <c r="F14" s="0" t="s">
        <v>46</v>
      </c>
    </row>
    <row r="15" customFormat="false" ht="15" hidden="false" customHeight="false" outlineLevel="0" collapsed="false">
      <c r="A15" s="0" t="n">
        <v>13</v>
      </c>
      <c r="B15" s="0" t="s">
        <v>56</v>
      </c>
      <c r="C15" s="0" t="s">
        <v>56</v>
      </c>
      <c r="D15" s="0" t="s">
        <v>52</v>
      </c>
      <c r="E15" s="0" t="s">
        <v>58</v>
      </c>
      <c r="F15" s="0" t="s">
        <v>96</v>
      </c>
    </row>
    <row r="16" customFormat="false" ht="15" hidden="false" customHeight="false" outlineLevel="0" collapsed="false">
      <c r="A16" s="0" t="n">
        <v>14</v>
      </c>
      <c r="B16" s="0" t="s">
        <v>56</v>
      </c>
      <c r="C16" s="0" t="s">
        <v>58</v>
      </c>
      <c r="D16" s="0" t="s">
        <v>96</v>
      </c>
      <c r="E16" s="0" t="s">
        <v>58</v>
      </c>
      <c r="F16" s="0" t="s">
        <v>48</v>
      </c>
    </row>
    <row r="17" customFormat="false" ht="15" hidden="false" customHeight="false" outlineLevel="0" collapsed="false">
      <c r="A17" s="0" t="n">
        <v>15</v>
      </c>
      <c r="B17" s="0" t="s">
        <v>48</v>
      </c>
      <c r="C17" s="0" t="s">
        <v>58</v>
      </c>
      <c r="D17" s="0" t="s">
        <v>52</v>
      </c>
      <c r="E17" s="0" t="s">
        <v>54</v>
      </c>
      <c r="F17" s="0" t="s">
        <v>48</v>
      </c>
    </row>
    <row r="18" customFormat="false" ht="15" hidden="false" customHeight="false" outlineLevel="0" collapsed="false">
      <c r="A18" s="0" t="n">
        <v>16</v>
      </c>
      <c r="B18" s="0" t="s">
        <v>48</v>
      </c>
      <c r="C18" s="0" t="s">
        <v>50</v>
      </c>
      <c r="D18" s="0" t="s">
        <v>48</v>
      </c>
      <c r="E18" s="0" t="s">
        <v>95</v>
      </c>
      <c r="F18" s="0" t="s">
        <v>52</v>
      </c>
    </row>
    <row r="19" customFormat="false" ht="15" hidden="false" customHeight="false" outlineLevel="0" collapsed="false">
      <c r="A19" s="0" t="n">
        <v>17</v>
      </c>
      <c r="B19" s="0" t="s">
        <v>48</v>
      </c>
      <c r="C19" s="0" t="s">
        <v>48</v>
      </c>
      <c r="D19" s="0" t="s">
        <v>42</v>
      </c>
      <c r="E19" s="0" t="s">
        <v>40</v>
      </c>
      <c r="F19" s="0" t="s">
        <v>52</v>
      </c>
    </row>
    <row r="20" customFormat="false" ht="15" hidden="false" customHeight="false" outlineLevel="0" collapsed="false">
      <c r="A20" s="0" t="n">
        <v>18</v>
      </c>
      <c r="B20" s="0" t="s">
        <v>52</v>
      </c>
      <c r="C20" s="0" t="s">
        <v>48</v>
      </c>
      <c r="D20" s="0" t="s">
        <v>42</v>
      </c>
      <c r="E20" s="0" t="s">
        <v>54</v>
      </c>
      <c r="F20" s="0" t="s">
        <v>50</v>
      </c>
    </row>
    <row r="21" customFormat="false" ht="15" hidden="false" customHeight="false" outlineLevel="0" collapsed="false">
      <c r="A21" s="0" t="n">
        <v>19</v>
      </c>
      <c r="B21" s="0" t="s">
        <v>54</v>
      </c>
      <c r="C21" s="0" t="s">
        <v>44</v>
      </c>
      <c r="D21" s="0" t="s">
        <v>40</v>
      </c>
      <c r="E21" s="0" t="s">
        <v>54</v>
      </c>
      <c r="F21" s="0" t="s">
        <v>50</v>
      </c>
    </row>
    <row r="22" customFormat="false" ht="15" hidden="false" customHeight="false" outlineLevel="0" collapsed="false">
      <c r="A22" s="0" t="n">
        <v>20</v>
      </c>
      <c r="B22" s="0" t="s">
        <v>58</v>
      </c>
      <c r="C22" s="0" t="s">
        <v>44</v>
      </c>
      <c r="D22" s="0" t="s">
        <v>56</v>
      </c>
      <c r="E22" s="0" t="s">
        <v>54</v>
      </c>
      <c r="F22" s="0" t="s">
        <v>50</v>
      </c>
    </row>
    <row r="23" customFormat="false" ht="15" hidden="false" customHeight="false" outlineLevel="0" collapsed="false">
      <c r="A23" s="0" t="n">
        <v>21</v>
      </c>
      <c r="B23" s="0" t="s">
        <v>58</v>
      </c>
      <c r="C23" s="0" t="s">
        <v>44</v>
      </c>
      <c r="D23" s="0" t="s">
        <v>56</v>
      </c>
      <c r="E23" s="0" t="s">
        <v>48</v>
      </c>
      <c r="F23" s="0" t="s">
        <v>40</v>
      </c>
    </row>
    <row r="24" customFormat="false" ht="15" hidden="false" customHeight="false" outlineLevel="0" collapsed="false">
      <c r="A24" s="0" t="n">
        <v>22</v>
      </c>
      <c r="B24" s="0" t="s">
        <v>52</v>
      </c>
      <c r="C24" s="0" t="s">
        <v>46</v>
      </c>
      <c r="D24" s="0" t="s">
        <v>54</v>
      </c>
      <c r="E24" s="0" t="s">
        <v>44</v>
      </c>
      <c r="F24" s="0" t="s">
        <v>44</v>
      </c>
    </row>
    <row r="25" customFormat="false" ht="15" hidden="false" customHeight="false" outlineLevel="0" collapsed="false">
      <c r="A25" s="0" t="n">
        <v>23</v>
      </c>
      <c r="B25" s="0" t="s">
        <v>44</v>
      </c>
      <c r="C25" s="0" t="s">
        <v>60</v>
      </c>
      <c r="D25" s="0" t="s">
        <v>54</v>
      </c>
      <c r="E25" s="0" t="s">
        <v>58</v>
      </c>
      <c r="F25" s="0" t="s">
        <v>44</v>
      </c>
    </row>
    <row r="26" customFormat="false" ht="15" hidden="false" customHeight="false" outlineLevel="0" collapsed="false">
      <c r="A26" s="0" t="n">
        <v>24</v>
      </c>
      <c r="B26" s="0" t="s">
        <v>48</v>
      </c>
      <c r="C26" s="0" t="s">
        <v>60</v>
      </c>
      <c r="D26" s="0" t="s">
        <v>54</v>
      </c>
      <c r="E26" s="0" t="s">
        <v>58</v>
      </c>
      <c r="F26" s="0" t="s">
        <v>58</v>
      </c>
    </row>
    <row r="27" customFormat="false" ht="15" hidden="false" customHeight="false" outlineLevel="0" collapsed="false">
      <c r="A27" s="0" t="n">
        <v>25</v>
      </c>
      <c r="B27" s="0" t="s">
        <v>60</v>
      </c>
      <c r="C27" s="0" t="s">
        <v>40</v>
      </c>
      <c r="D27" s="0" t="s">
        <v>50</v>
      </c>
      <c r="E27" s="0" t="s">
        <v>42</v>
      </c>
      <c r="F27" s="0" t="s">
        <v>48</v>
      </c>
    </row>
    <row r="28" customFormat="false" ht="15" hidden="false" customHeight="false" outlineLevel="0" collapsed="false">
      <c r="A28" s="0" t="n">
        <v>26</v>
      </c>
      <c r="B28" s="0" t="s">
        <v>52</v>
      </c>
      <c r="C28" s="0" t="s">
        <v>40</v>
      </c>
      <c r="D28" s="0" t="s">
        <v>48</v>
      </c>
      <c r="E28" s="0" t="s">
        <v>60</v>
      </c>
      <c r="F28" s="0" t="s">
        <v>48</v>
      </c>
    </row>
    <row r="29" customFormat="false" ht="15" hidden="false" customHeight="false" outlineLevel="0" collapsed="false">
      <c r="A29" s="0" t="n">
        <v>27</v>
      </c>
      <c r="B29" s="0" t="s">
        <v>52</v>
      </c>
      <c r="C29" s="0" t="s">
        <v>60</v>
      </c>
      <c r="D29" s="0" t="s">
        <v>50</v>
      </c>
      <c r="E29" s="0" t="s">
        <v>40</v>
      </c>
      <c r="F29" s="0" t="s">
        <v>54</v>
      </c>
    </row>
    <row r="30" customFormat="false" ht="15" hidden="false" customHeight="false" outlineLevel="0" collapsed="false">
      <c r="A30" s="0" t="n">
        <v>28</v>
      </c>
      <c r="B30" s="0" t="s">
        <v>56</v>
      </c>
      <c r="C30" s="0" t="s">
        <v>60</v>
      </c>
      <c r="D30" s="0" t="s">
        <v>54</v>
      </c>
      <c r="E30" s="0" t="s">
        <v>40</v>
      </c>
      <c r="F30" s="0" t="s">
        <v>56</v>
      </c>
    </row>
    <row r="31" customFormat="false" ht="15" hidden="false" customHeight="false" outlineLevel="0" collapsed="false">
      <c r="A31" s="0" t="n">
        <v>29</v>
      </c>
      <c r="B31" s="0" t="s">
        <v>96</v>
      </c>
      <c r="C31" s="0" t="s">
        <v>96</v>
      </c>
      <c r="D31" s="0" t="s">
        <v>54</v>
      </c>
      <c r="E31" s="0" t="s">
        <v>60</v>
      </c>
      <c r="F31" s="0" t="s">
        <v>56</v>
      </c>
    </row>
    <row r="32" customFormat="false" ht="15" hidden="false" customHeight="false" outlineLevel="0" collapsed="false">
      <c r="A32" s="0" t="n">
        <v>30</v>
      </c>
      <c r="B32" s="0" t="s">
        <v>42</v>
      </c>
      <c r="C32" s="0" t="s">
        <v>60</v>
      </c>
      <c r="D32" s="0" t="s">
        <v>95</v>
      </c>
      <c r="E32" s="0" t="s">
        <v>56</v>
      </c>
      <c r="F32" s="0" t="s">
        <v>60</v>
      </c>
    </row>
    <row r="33" customFormat="false" ht="15" hidden="false" customHeight="false" outlineLevel="0" collapsed="false">
      <c r="A33" s="0" t="n">
        <v>31</v>
      </c>
      <c r="B33" s="0" t="s">
        <v>40</v>
      </c>
      <c r="C33" s="0" t="s">
        <v>60</v>
      </c>
      <c r="D33" s="0" t="s">
        <v>52</v>
      </c>
      <c r="E33" s="0" t="s">
        <v>56</v>
      </c>
      <c r="F33" s="0" t="s">
        <v>60</v>
      </c>
    </row>
    <row r="34" customFormat="false" ht="15" hidden="false" customHeight="false" outlineLevel="0" collapsed="false">
      <c r="A34" s="0" t="n">
        <v>32</v>
      </c>
      <c r="B34" s="0" t="s">
        <v>54</v>
      </c>
      <c r="C34" s="0" t="s">
        <v>46</v>
      </c>
      <c r="D34" s="0" t="s">
        <v>95</v>
      </c>
      <c r="E34" s="0" t="s">
        <v>95</v>
      </c>
      <c r="F34" s="0" t="s">
        <v>42</v>
      </c>
    </row>
    <row r="35" customFormat="false" ht="15" hidden="false" customHeight="false" outlineLevel="0" collapsed="false">
      <c r="A35" s="0" t="n">
        <v>33</v>
      </c>
      <c r="B35" s="0" t="s">
        <v>56</v>
      </c>
      <c r="C35" s="0" t="s">
        <v>46</v>
      </c>
      <c r="D35" s="0" t="s">
        <v>56</v>
      </c>
      <c r="E35" s="0" t="s">
        <v>95</v>
      </c>
      <c r="F35" s="0" t="s">
        <v>42</v>
      </c>
    </row>
    <row r="36" customFormat="false" ht="15" hidden="false" customHeight="false" outlineLevel="0" collapsed="false">
      <c r="A36" s="0" t="n">
        <v>34</v>
      </c>
      <c r="B36" s="0" t="s">
        <v>58</v>
      </c>
      <c r="C36" s="0" t="s">
        <v>56</v>
      </c>
      <c r="D36" s="0" t="s">
        <v>56</v>
      </c>
      <c r="E36" s="0" t="s">
        <v>58</v>
      </c>
      <c r="F36" s="0" t="s">
        <v>58</v>
      </c>
    </row>
    <row r="37" customFormat="false" ht="15" hidden="false" customHeight="false" outlineLevel="0" collapsed="false">
      <c r="A37" s="0" t="n">
        <v>35</v>
      </c>
      <c r="B37" s="0" t="s">
        <v>50</v>
      </c>
      <c r="C37" s="0" t="s">
        <v>58</v>
      </c>
      <c r="D37" s="0" t="s">
        <v>52</v>
      </c>
      <c r="E37" s="0" t="s">
        <v>58</v>
      </c>
      <c r="F37" s="0" t="s">
        <v>60</v>
      </c>
    </row>
    <row r="38" customFormat="false" ht="15" hidden="false" customHeight="false" outlineLevel="0" collapsed="false">
      <c r="A38" s="0" t="n">
        <v>36</v>
      </c>
      <c r="B38" s="0" t="s">
        <v>50</v>
      </c>
      <c r="C38" s="0" t="s">
        <v>95</v>
      </c>
      <c r="D38" s="0" t="s">
        <v>52</v>
      </c>
      <c r="E38" s="0" t="s">
        <v>52</v>
      </c>
      <c r="F38" s="0" t="s">
        <v>60</v>
      </c>
    </row>
    <row r="39" customFormat="false" ht="15" hidden="false" customHeight="false" outlineLevel="0" collapsed="false">
      <c r="A39" s="0" t="n">
        <v>37</v>
      </c>
      <c r="B39" s="0" t="s">
        <v>52</v>
      </c>
      <c r="C39" s="0" t="s">
        <v>52</v>
      </c>
      <c r="D39" s="0" t="s">
        <v>58</v>
      </c>
      <c r="E39" s="0" t="s">
        <v>60</v>
      </c>
      <c r="F39" s="0" t="s">
        <v>52</v>
      </c>
    </row>
    <row r="40" customFormat="false" ht="15" hidden="false" customHeight="false" outlineLevel="0" collapsed="false">
      <c r="A40" s="0" t="n">
        <v>38</v>
      </c>
      <c r="B40" s="0" t="s">
        <v>42</v>
      </c>
      <c r="C40" s="0" t="s">
        <v>52</v>
      </c>
      <c r="D40" s="0" t="s">
        <v>58</v>
      </c>
      <c r="E40" s="0" t="s">
        <v>60</v>
      </c>
      <c r="F40" s="0" t="s">
        <v>52</v>
      </c>
    </row>
    <row r="41" customFormat="false" ht="15" hidden="false" customHeight="false" outlineLevel="0" collapsed="false">
      <c r="A41" s="0" t="n">
        <v>39</v>
      </c>
      <c r="B41" s="0" t="s">
        <v>42</v>
      </c>
      <c r="C41" s="0" t="s">
        <v>60</v>
      </c>
      <c r="D41" s="0" t="s">
        <v>46</v>
      </c>
      <c r="E41" s="0" t="s">
        <v>52</v>
      </c>
      <c r="F41" s="0" t="s">
        <v>52</v>
      </c>
    </row>
    <row r="42" customFormat="false" ht="15" hidden="false" customHeight="false" outlineLevel="0" collapsed="false">
      <c r="A42" s="0" t="n">
        <v>40</v>
      </c>
      <c r="B42" s="0" t="s">
        <v>60</v>
      </c>
      <c r="C42" s="0" t="s">
        <v>60</v>
      </c>
      <c r="D42" s="0" t="s">
        <v>46</v>
      </c>
      <c r="E42" s="0" t="s">
        <v>60</v>
      </c>
      <c r="F42" s="0" t="s">
        <v>44</v>
      </c>
    </row>
    <row r="43" customFormat="false" ht="15" hidden="false" customHeight="false" outlineLevel="0" collapsed="false">
      <c r="A43" s="0" t="n">
        <v>41</v>
      </c>
      <c r="B43" s="0" t="s">
        <v>60</v>
      </c>
      <c r="C43" s="0" t="s">
        <v>58</v>
      </c>
      <c r="D43" s="0" t="s">
        <v>60</v>
      </c>
      <c r="E43" s="0" t="s">
        <v>60</v>
      </c>
      <c r="F43" s="0" t="s">
        <v>54</v>
      </c>
    </row>
    <row r="44" customFormat="false" ht="15" hidden="false" customHeight="false" outlineLevel="0" collapsed="false">
      <c r="A44" s="0" t="n">
        <v>42</v>
      </c>
      <c r="B44" s="0" t="s">
        <v>60</v>
      </c>
      <c r="C44" s="0" t="s">
        <v>58</v>
      </c>
      <c r="D44" s="0" t="s">
        <v>60</v>
      </c>
      <c r="E44" s="0" t="s">
        <v>96</v>
      </c>
      <c r="F44" s="0" t="s">
        <v>54</v>
      </c>
    </row>
    <row r="45" customFormat="false" ht="15" hidden="false" customHeight="false" outlineLevel="0" collapsed="false">
      <c r="A45" s="0" t="n">
        <v>43</v>
      </c>
      <c r="B45" s="0" t="s">
        <v>60</v>
      </c>
      <c r="C45" s="0" t="s">
        <v>54</v>
      </c>
      <c r="D45" s="0" t="s">
        <v>95</v>
      </c>
      <c r="E45" s="0" t="s">
        <v>46</v>
      </c>
      <c r="F45" s="0" t="s">
        <v>46</v>
      </c>
    </row>
    <row r="46" customFormat="false" ht="15" hidden="false" customHeight="false" outlineLevel="0" collapsed="false">
      <c r="A46" s="0" t="n">
        <v>44</v>
      </c>
      <c r="B46" s="0" t="s">
        <v>60</v>
      </c>
      <c r="C46" s="0" t="s">
        <v>95</v>
      </c>
      <c r="D46" s="0" t="s">
        <v>56</v>
      </c>
      <c r="E46" s="0" t="s">
        <v>50</v>
      </c>
      <c r="F46" s="0" t="s">
        <v>46</v>
      </c>
    </row>
    <row r="47" customFormat="false" ht="15" hidden="false" customHeight="false" outlineLevel="0" collapsed="false">
      <c r="A47" s="0" t="n">
        <v>45</v>
      </c>
      <c r="B47" s="0" t="s">
        <v>46</v>
      </c>
      <c r="C47" s="0" t="s">
        <v>54</v>
      </c>
      <c r="D47" s="0" t="s">
        <v>48</v>
      </c>
      <c r="E47" s="0" t="s">
        <v>50</v>
      </c>
      <c r="F47" s="0" t="s">
        <v>46</v>
      </c>
    </row>
    <row r="48" customFormat="false" ht="15" hidden="false" customHeight="false" outlineLevel="0" collapsed="false">
      <c r="A48" s="0" t="n">
        <v>46</v>
      </c>
      <c r="B48" s="0" t="s">
        <v>46</v>
      </c>
      <c r="C48" s="0" t="s">
        <v>96</v>
      </c>
      <c r="D48" s="0" t="s">
        <v>54</v>
      </c>
      <c r="E48" s="0" t="s">
        <v>95</v>
      </c>
      <c r="F48" s="0" t="s">
        <v>44</v>
      </c>
    </row>
    <row r="49" customFormat="false" ht="15" hidden="false" customHeight="false" outlineLevel="0" collapsed="false">
      <c r="A49" s="0" t="n">
        <v>47</v>
      </c>
      <c r="B49" s="0" t="s">
        <v>40</v>
      </c>
      <c r="C49" s="0" t="s">
        <v>95</v>
      </c>
      <c r="D49" s="0" t="s">
        <v>50</v>
      </c>
      <c r="E49" s="0" t="s">
        <v>95</v>
      </c>
      <c r="F49" s="0" t="s">
        <v>58</v>
      </c>
    </row>
    <row r="50" customFormat="false" ht="15" hidden="false" customHeight="false" outlineLevel="0" collapsed="false">
      <c r="A50" s="0" t="n">
        <v>48</v>
      </c>
      <c r="B50" s="0" t="s">
        <v>58</v>
      </c>
      <c r="C50" s="0" t="s">
        <v>56</v>
      </c>
      <c r="D50" s="0" t="s">
        <v>50</v>
      </c>
      <c r="E50" s="0" t="s">
        <v>50</v>
      </c>
      <c r="F50" s="0" t="s">
        <v>58</v>
      </c>
    </row>
    <row r="51" customFormat="false" ht="15" hidden="false" customHeight="false" outlineLevel="0" collapsed="false">
      <c r="A51" s="0" t="n">
        <v>49</v>
      </c>
      <c r="B51" s="0" t="s">
        <v>58</v>
      </c>
      <c r="C51" s="0" t="s">
        <v>58</v>
      </c>
      <c r="D51" s="0" t="s">
        <v>58</v>
      </c>
      <c r="E51" s="0" t="s">
        <v>50</v>
      </c>
      <c r="F51" s="0" t="s">
        <v>42</v>
      </c>
    </row>
    <row r="52" customFormat="false" ht="15" hidden="false" customHeight="false" outlineLevel="0" collapsed="false">
      <c r="A52" s="0" t="n">
        <v>50</v>
      </c>
      <c r="B52" s="0" t="s">
        <v>58</v>
      </c>
      <c r="C52" s="0" t="s">
        <v>50</v>
      </c>
      <c r="D52" s="0" t="s">
        <v>58</v>
      </c>
      <c r="E52" s="0" t="s">
        <v>54</v>
      </c>
      <c r="F52" s="0" t="s">
        <v>50</v>
      </c>
    </row>
    <row r="53" customFormat="false" ht="15" hidden="false" customHeight="false" outlineLevel="0" collapsed="false">
      <c r="A53" s="0" t="n">
        <v>51</v>
      </c>
      <c r="B53" s="0" t="s">
        <v>54</v>
      </c>
      <c r="C53" s="0" t="s">
        <v>50</v>
      </c>
      <c r="D53" s="0" t="s">
        <v>60</v>
      </c>
      <c r="E53" s="0" t="s">
        <v>56</v>
      </c>
      <c r="F53" s="0" t="s">
        <v>50</v>
      </c>
    </row>
    <row r="54" customFormat="false" ht="15" hidden="false" customHeight="false" outlineLevel="0" collapsed="false">
      <c r="A54" s="0" t="n">
        <v>52</v>
      </c>
      <c r="B54" s="0" t="s">
        <v>54</v>
      </c>
      <c r="C54" s="0" t="s">
        <v>42</v>
      </c>
      <c r="D54" s="0" t="s">
        <v>60</v>
      </c>
      <c r="E54" s="0" t="s">
        <v>52</v>
      </c>
      <c r="F54" s="0" t="s">
        <v>60</v>
      </c>
    </row>
    <row r="55" customFormat="false" ht="15" hidden="false" customHeight="false" outlineLevel="0" collapsed="false">
      <c r="A55" s="0" t="n">
        <v>53</v>
      </c>
      <c r="B55" s="0" t="s">
        <v>60</v>
      </c>
      <c r="C55" s="0" t="s">
        <v>58</v>
      </c>
      <c r="D55" s="0" t="s">
        <v>48</v>
      </c>
      <c r="E55" s="0" t="s">
        <v>44</v>
      </c>
      <c r="F55" s="0" t="s">
        <v>60</v>
      </c>
    </row>
    <row r="56" customFormat="false" ht="15" hidden="false" customHeight="false" outlineLevel="0" collapsed="false">
      <c r="A56" s="0" t="n">
        <v>54</v>
      </c>
      <c r="B56" s="0" t="s">
        <v>60</v>
      </c>
      <c r="C56" s="0" t="s">
        <v>42</v>
      </c>
      <c r="D56" s="0" t="s">
        <v>50</v>
      </c>
      <c r="E56" s="0" t="s">
        <v>50</v>
      </c>
      <c r="F56" s="0" t="s">
        <v>58</v>
      </c>
    </row>
    <row r="57" customFormat="false" ht="15" hidden="false" customHeight="false" outlineLevel="0" collapsed="false">
      <c r="A57" s="0" t="n">
        <v>55</v>
      </c>
      <c r="B57" s="0" t="s">
        <v>60</v>
      </c>
      <c r="C57" s="0" t="s">
        <v>95</v>
      </c>
      <c r="D57" s="0" t="s">
        <v>58</v>
      </c>
      <c r="E57" s="0" t="s">
        <v>54</v>
      </c>
      <c r="F57" s="0" t="s">
        <v>60</v>
      </c>
    </row>
    <row r="58" customFormat="false" ht="15" hidden="false" customHeight="false" outlineLevel="0" collapsed="false">
      <c r="A58" s="0" t="n">
        <v>56</v>
      </c>
      <c r="B58" s="0" t="s">
        <v>60</v>
      </c>
      <c r="C58" s="0" t="s">
        <v>48</v>
      </c>
      <c r="D58" s="0" t="s">
        <v>60</v>
      </c>
      <c r="E58" s="0" t="s">
        <v>52</v>
      </c>
      <c r="F58" s="0" t="s">
        <v>60</v>
      </c>
    </row>
    <row r="59" customFormat="false" ht="15" hidden="false" customHeight="false" outlineLevel="0" collapsed="false">
      <c r="A59" s="0" t="n">
        <v>57</v>
      </c>
      <c r="B59" s="0" t="s">
        <v>50</v>
      </c>
      <c r="C59" s="0" t="s">
        <v>56</v>
      </c>
      <c r="D59" s="0" t="s">
        <v>60</v>
      </c>
      <c r="E59" s="0" t="s">
        <v>58</v>
      </c>
      <c r="F59" s="0" t="s">
        <v>54</v>
      </c>
    </row>
    <row r="60" customFormat="false" ht="15" hidden="false" customHeight="false" outlineLevel="0" collapsed="false">
      <c r="A60" s="0" t="n">
        <v>58</v>
      </c>
      <c r="B60" s="0" t="s">
        <v>50</v>
      </c>
      <c r="C60" s="0" t="s">
        <v>46</v>
      </c>
      <c r="D60" s="0" t="s">
        <v>42</v>
      </c>
      <c r="E60" s="0" t="s">
        <v>60</v>
      </c>
      <c r="F60" s="0" t="s">
        <v>54</v>
      </c>
    </row>
    <row r="61" customFormat="false" ht="15" hidden="false" customHeight="false" outlineLevel="0" collapsed="false">
      <c r="A61" s="0" t="n">
        <v>59</v>
      </c>
      <c r="B61" s="0" t="s">
        <v>48</v>
      </c>
      <c r="C61" s="0" t="s">
        <v>95</v>
      </c>
      <c r="D61" s="0" t="s">
        <v>60</v>
      </c>
      <c r="E61" s="0" t="s">
        <v>48</v>
      </c>
      <c r="F61" s="0" t="s">
        <v>56</v>
      </c>
    </row>
    <row r="62" customFormat="false" ht="15" hidden="false" customHeight="false" outlineLevel="0" collapsed="false">
      <c r="A62" s="0" t="n">
        <v>60</v>
      </c>
      <c r="B62" s="0" t="s">
        <v>48</v>
      </c>
      <c r="C62" s="0" t="s">
        <v>40</v>
      </c>
      <c r="D62" s="0" t="s">
        <v>40</v>
      </c>
      <c r="E62" s="0" t="s">
        <v>48</v>
      </c>
      <c r="F62" s="0" t="s">
        <v>58</v>
      </c>
    </row>
    <row r="63" customFormat="false" ht="15" hidden="false" customHeight="false" outlineLevel="0" collapsed="false">
      <c r="A63" s="0" t="n">
        <v>61</v>
      </c>
      <c r="B63" s="0" t="s">
        <v>44</v>
      </c>
      <c r="C63" s="0" t="s">
        <v>50</v>
      </c>
      <c r="D63" s="0" t="s">
        <v>40</v>
      </c>
      <c r="E63" s="0" t="s">
        <v>58</v>
      </c>
      <c r="F63" s="0" t="s">
        <v>40</v>
      </c>
    </row>
    <row r="64" customFormat="false" ht="15" hidden="false" customHeight="false" outlineLevel="0" collapsed="false">
      <c r="A64" s="0" t="n">
        <v>62</v>
      </c>
      <c r="B64" s="0" t="s">
        <v>44</v>
      </c>
      <c r="C64" s="0" t="s">
        <v>50</v>
      </c>
      <c r="D64" s="0" t="s">
        <v>52</v>
      </c>
      <c r="E64" s="0" t="s">
        <v>60</v>
      </c>
      <c r="F64" s="0" t="s">
        <v>40</v>
      </c>
    </row>
    <row r="65" customFormat="false" ht="15" hidden="false" customHeight="false" outlineLevel="0" collapsed="false">
      <c r="A65" s="0" t="n">
        <v>63</v>
      </c>
      <c r="B65" s="0" t="s">
        <v>46</v>
      </c>
      <c r="C65" s="0" t="s">
        <v>56</v>
      </c>
      <c r="D65" s="0" t="s">
        <v>56</v>
      </c>
      <c r="E65" s="0" t="s">
        <v>60</v>
      </c>
      <c r="F65" s="0" t="s">
        <v>56</v>
      </c>
    </row>
    <row r="66" customFormat="false" ht="15" hidden="false" customHeight="false" outlineLevel="0" collapsed="false">
      <c r="A66" s="0" t="n">
        <v>64</v>
      </c>
      <c r="B66" s="0" t="s">
        <v>54</v>
      </c>
      <c r="C66" s="0" t="s">
        <v>44</v>
      </c>
      <c r="D66" s="0" t="s">
        <v>56</v>
      </c>
      <c r="E66" s="0" t="s">
        <v>46</v>
      </c>
      <c r="F66" s="0" t="s">
        <v>56</v>
      </c>
    </row>
    <row r="67" customFormat="false" ht="15" hidden="false" customHeight="false" outlineLevel="0" collapsed="false">
      <c r="A67" s="0" t="n">
        <v>65</v>
      </c>
      <c r="B67" s="0" t="s">
        <v>54</v>
      </c>
      <c r="C67" s="0" t="s">
        <v>44</v>
      </c>
      <c r="D67" s="0" t="s">
        <v>95</v>
      </c>
      <c r="E67" s="0" t="s">
        <v>56</v>
      </c>
      <c r="F67" s="0" t="s">
        <v>52</v>
      </c>
    </row>
    <row r="68" customFormat="false" ht="15" hidden="false" customHeight="false" outlineLevel="0" collapsed="false">
      <c r="A68" s="0" t="n">
        <v>66</v>
      </c>
      <c r="B68" s="0" t="s">
        <v>40</v>
      </c>
      <c r="C68" s="0" t="s">
        <v>54</v>
      </c>
      <c r="D68" s="0" t="s">
        <v>46</v>
      </c>
      <c r="E68" s="0" t="s">
        <v>56</v>
      </c>
      <c r="F68" s="0" t="s">
        <v>54</v>
      </c>
    </row>
    <row r="69" customFormat="false" ht="15" hidden="false" customHeight="false" outlineLevel="0" collapsed="false">
      <c r="A69" s="0" t="n">
        <v>67</v>
      </c>
      <c r="B69" s="0" t="s">
        <v>56</v>
      </c>
      <c r="C69" s="0" t="s">
        <v>54</v>
      </c>
      <c r="D69" s="0" t="s">
        <v>46</v>
      </c>
      <c r="E69" s="0" t="s">
        <v>54</v>
      </c>
      <c r="F69" s="0" t="s">
        <v>54</v>
      </c>
    </row>
    <row r="70" customFormat="false" ht="15" hidden="false" customHeight="false" outlineLevel="0" collapsed="false">
      <c r="A70" s="0" t="n">
        <v>68</v>
      </c>
      <c r="B70" s="0" t="s">
        <v>56</v>
      </c>
      <c r="C70" s="0" t="s">
        <v>54</v>
      </c>
      <c r="D70" s="0" t="s">
        <v>56</v>
      </c>
      <c r="E70" s="0" t="s">
        <v>56</v>
      </c>
      <c r="F70" s="0" t="s">
        <v>48</v>
      </c>
    </row>
    <row r="71" customFormat="false" ht="15" hidden="false" customHeight="false" outlineLevel="0" collapsed="false">
      <c r="A71" s="0" t="n">
        <v>69</v>
      </c>
      <c r="B71" s="0" t="s">
        <v>52</v>
      </c>
      <c r="C71" s="0" t="s">
        <v>54</v>
      </c>
      <c r="D71" s="0" t="s">
        <v>56</v>
      </c>
      <c r="E71" s="0" t="s">
        <v>52</v>
      </c>
      <c r="F71" s="0" t="s">
        <v>52</v>
      </c>
    </row>
    <row r="72" customFormat="false" ht="15" hidden="false" customHeight="false" outlineLevel="0" collapsed="false">
      <c r="A72" s="0" t="n">
        <v>70</v>
      </c>
      <c r="B72" s="0" t="s">
        <v>44</v>
      </c>
      <c r="C72" s="0" t="s">
        <v>48</v>
      </c>
      <c r="D72" s="0" t="s">
        <v>48</v>
      </c>
      <c r="E72" s="0" t="s">
        <v>56</v>
      </c>
      <c r="F72" s="0" t="s">
        <v>58</v>
      </c>
    </row>
    <row r="73" customFormat="false" ht="15" hidden="false" customHeight="false" outlineLevel="0" collapsed="false">
      <c r="A73" s="0" t="n">
        <v>71</v>
      </c>
      <c r="B73" s="0" t="s">
        <v>44</v>
      </c>
      <c r="C73" s="0" t="s">
        <v>56</v>
      </c>
      <c r="D73" s="0" t="s">
        <v>48</v>
      </c>
      <c r="E73" s="0" t="s">
        <v>56</v>
      </c>
      <c r="F73" s="0" t="s">
        <v>96</v>
      </c>
    </row>
    <row r="74" customFormat="false" ht="15" hidden="false" customHeight="false" outlineLevel="0" collapsed="false">
      <c r="A74" s="0" t="n">
        <v>72</v>
      </c>
      <c r="B74" s="0" t="s">
        <v>58</v>
      </c>
      <c r="C74" s="0" t="s">
        <v>56</v>
      </c>
      <c r="D74" s="0" t="s">
        <v>60</v>
      </c>
      <c r="E74" s="0" t="s">
        <v>42</v>
      </c>
      <c r="F74" s="0" t="s">
        <v>60</v>
      </c>
    </row>
    <row r="75" customFormat="false" ht="15" hidden="false" customHeight="false" outlineLevel="0" collapsed="false">
      <c r="A75" s="0" t="n">
        <v>73</v>
      </c>
      <c r="B75" s="0" t="s">
        <v>56</v>
      </c>
      <c r="C75" s="0" t="s">
        <v>52</v>
      </c>
      <c r="D75" s="0" t="s">
        <v>60</v>
      </c>
      <c r="E75" s="0" t="s">
        <v>95</v>
      </c>
      <c r="F75" s="0" t="s">
        <v>42</v>
      </c>
    </row>
    <row r="76" customFormat="false" ht="15" hidden="false" customHeight="false" outlineLevel="0" collapsed="false">
      <c r="A76" s="0" t="n">
        <v>74</v>
      </c>
      <c r="B76" s="0" t="s">
        <v>50</v>
      </c>
      <c r="C76" s="0" t="s">
        <v>54</v>
      </c>
      <c r="D76" s="0" t="s">
        <v>44</v>
      </c>
      <c r="E76" s="0" t="s">
        <v>60</v>
      </c>
      <c r="F76" s="0" t="s">
        <v>50</v>
      </c>
    </row>
    <row r="77" customFormat="false" ht="15" hidden="false" customHeight="false" outlineLevel="0" collapsed="false">
      <c r="A77" s="0" t="n">
        <v>75</v>
      </c>
      <c r="B77" s="0" t="s">
        <v>50</v>
      </c>
      <c r="C77" s="0" t="s">
        <v>50</v>
      </c>
      <c r="D77" s="0" t="s">
        <v>54</v>
      </c>
      <c r="E77" s="0" t="s">
        <v>56</v>
      </c>
      <c r="F77" s="0" t="s">
        <v>56</v>
      </c>
    </row>
    <row r="78" customFormat="false" ht="15" hidden="false" customHeight="false" outlineLevel="0" collapsed="false">
      <c r="A78" s="0" t="n">
        <v>76</v>
      </c>
      <c r="B78" s="0" t="s">
        <v>54</v>
      </c>
      <c r="C78" s="0" t="s">
        <v>50</v>
      </c>
      <c r="D78" s="0" t="s">
        <v>54</v>
      </c>
      <c r="E78" s="0" t="s">
        <v>46</v>
      </c>
      <c r="F78" s="0" t="s">
        <v>56</v>
      </c>
    </row>
    <row r="79" customFormat="false" ht="15" hidden="false" customHeight="false" outlineLevel="0" collapsed="false">
      <c r="A79" s="0" t="n">
        <v>77</v>
      </c>
      <c r="C79" s="0" t="s">
        <v>52</v>
      </c>
      <c r="D79" s="0" t="s">
        <v>44</v>
      </c>
      <c r="E79" s="0" t="s">
        <v>46</v>
      </c>
      <c r="F79" s="0" t="s">
        <v>54</v>
      </c>
    </row>
    <row r="80" customFormat="false" ht="15" hidden="false" customHeight="false" outlineLevel="0" collapsed="false">
      <c r="A80" s="0" t="n">
        <v>78</v>
      </c>
      <c r="C80" s="0" t="s">
        <v>54</v>
      </c>
      <c r="D80" s="0" t="s">
        <v>60</v>
      </c>
      <c r="E80" s="0" t="s">
        <v>50</v>
      </c>
      <c r="F80" s="0" t="s">
        <v>46</v>
      </c>
    </row>
    <row r="81" customFormat="false" ht="15" hidden="false" customHeight="false" outlineLevel="0" collapsed="false">
      <c r="A81" s="0" t="n">
        <v>79</v>
      </c>
      <c r="C81" s="0" t="s">
        <v>56</v>
      </c>
      <c r="D81" s="0" t="s">
        <v>42</v>
      </c>
      <c r="E81" s="0" t="s">
        <v>48</v>
      </c>
    </row>
    <row r="82" customFormat="false" ht="15" hidden="false" customHeight="false" outlineLevel="0" collapsed="false">
      <c r="A82" s="0" t="n">
        <v>80</v>
      </c>
      <c r="C82" s="0" t="s">
        <v>48</v>
      </c>
      <c r="D82" s="0" t="s">
        <v>50</v>
      </c>
      <c r="E82" s="0" t="s">
        <v>54</v>
      </c>
    </row>
    <row r="83" customFormat="false" ht="15" hidden="false" customHeight="false" outlineLevel="0" collapsed="false">
      <c r="A83" s="0" t="n">
        <v>81</v>
      </c>
      <c r="C83" s="0" t="s">
        <v>48</v>
      </c>
      <c r="D83" s="0" t="s">
        <v>52</v>
      </c>
      <c r="E83" s="0" t="s">
        <v>44</v>
      </c>
    </row>
    <row r="84" customFormat="false" ht="15" hidden="false" customHeight="false" outlineLevel="0" collapsed="false">
      <c r="A84" s="0" t="n">
        <v>82</v>
      </c>
      <c r="C84" s="0" t="s">
        <v>95</v>
      </c>
      <c r="D84" s="0" t="s">
        <v>54</v>
      </c>
      <c r="E84" s="0" t="s">
        <v>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26.85" hidden="false" customHeight="false" outlineLevel="0" collapsed="false">
      <c r="A1" s="3" t="s">
        <v>101</v>
      </c>
      <c r="B1" s="3" t="s">
        <v>90</v>
      </c>
      <c r="C1" s="3" t="s">
        <v>91</v>
      </c>
      <c r="D1" s="3" t="s">
        <v>92</v>
      </c>
      <c r="E1" s="3" t="s">
        <v>93</v>
      </c>
      <c r="F1" s="3" t="s">
        <v>94</v>
      </c>
    </row>
    <row r="2" customFormat="false" ht="15" hidden="false" customHeight="false" outlineLevel="0" collapsed="false">
      <c r="A2" s="0" t="n">
        <v>0</v>
      </c>
      <c r="B2" s="0" t="s">
        <v>54</v>
      </c>
      <c r="C2" s="0" t="s">
        <v>42</v>
      </c>
      <c r="D2" s="0" t="s">
        <v>58</v>
      </c>
      <c r="E2" s="0" t="s">
        <v>50</v>
      </c>
      <c r="F2" s="0" t="s">
        <v>46</v>
      </c>
    </row>
    <row r="3" customFormat="false" ht="15" hidden="false" customHeight="false" outlineLevel="0" collapsed="false">
      <c r="A3" s="0" t="n">
        <v>1</v>
      </c>
      <c r="B3" s="0" t="s">
        <v>56</v>
      </c>
      <c r="C3" s="0" t="s">
        <v>60</v>
      </c>
      <c r="D3" s="0" t="s">
        <v>50</v>
      </c>
      <c r="E3" s="0" t="s">
        <v>54</v>
      </c>
      <c r="F3" s="0" t="s">
        <v>60</v>
      </c>
    </row>
    <row r="4" customFormat="false" ht="15" hidden="false" customHeight="false" outlineLevel="0" collapsed="false">
      <c r="A4" s="0" t="n">
        <v>2</v>
      </c>
      <c r="B4" s="0" t="s">
        <v>42</v>
      </c>
      <c r="C4" s="0" t="s">
        <v>60</v>
      </c>
      <c r="D4" s="0" t="s">
        <v>56</v>
      </c>
      <c r="E4" s="0" t="s">
        <v>60</v>
      </c>
      <c r="F4" s="0" t="s">
        <v>48</v>
      </c>
    </row>
    <row r="5" customFormat="false" ht="15" hidden="false" customHeight="false" outlineLevel="0" collapsed="false">
      <c r="A5" s="0" t="n">
        <v>3</v>
      </c>
      <c r="B5" s="0" t="s">
        <v>48</v>
      </c>
      <c r="C5" s="0" t="s">
        <v>48</v>
      </c>
      <c r="D5" s="0" t="s">
        <v>95</v>
      </c>
      <c r="E5" s="0" t="s">
        <v>58</v>
      </c>
      <c r="F5" s="0" t="s">
        <v>54</v>
      </c>
    </row>
    <row r="6" customFormat="false" ht="15" hidden="false" customHeight="false" outlineLevel="0" collapsed="false">
      <c r="A6" s="0" t="n">
        <v>4</v>
      </c>
      <c r="B6" s="0" t="s">
        <v>60</v>
      </c>
      <c r="C6" s="0" t="s">
        <v>48</v>
      </c>
      <c r="D6" s="0" t="s">
        <v>95</v>
      </c>
      <c r="E6" s="0" t="s">
        <v>58</v>
      </c>
      <c r="F6" s="0" t="s">
        <v>58</v>
      </c>
    </row>
    <row r="7" customFormat="false" ht="15" hidden="false" customHeight="false" outlineLevel="0" collapsed="false">
      <c r="A7" s="0" t="n">
        <v>5</v>
      </c>
      <c r="B7" s="0" t="s">
        <v>50</v>
      </c>
      <c r="C7" s="0" t="s">
        <v>95</v>
      </c>
      <c r="D7" s="0" t="s">
        <v>50</v>
      </c>
      <c r="E7" s="0" t="s">
        <v>48</v>
      </c>
      <c r="F7" s="0" t="s">
        <v>58</v>
      </c>
    </row>
    <row r="8" customFormat="false" ht="15" hidden="false" customHeight="false" outlineLevel="0" collapsed="false">
      <c r="A8" s="0" t="n">
        <v>6</v>
      </c>
      <c r="B8" s="0" t="s">
        <v>56</v>
      </c>
      <c r="C8" s="0" t="s">
        <v>44</v>
      </c>
      <c r="D8" s="0" t="s">
        <v>44</v>
      </c>
      <c r="E8" s="0" t="s">
        <v>48</v>
      </c>
      <c r="F8" s="0" t="s">
        <v>96</v>
      </c>
    </row>
    <row r="9" customFormat="false" ht="15" hidden="false" customHeight="false" outlineLevel="0" collapsed="false">
      <c r="A9" s="0" t="n">
        <v>7</v>
      </c>
      <c r="B9" s="0" t="s">
        <v>46</v>
      </c>
      <c r="C9" s="0" t="s">
        <v>56</v>
      </c>
      <c r="D9" s="0" t="s">
        <v>50</v>
      </c>
      <c r="E9" s="0" t="s">
        <v>52</v>
      </c>
      <c r="F9" s="0" t="s">
        <v>50</v>
      </c>
    </row>
    <row r="10" customFormat="false" ht="15" hidden="false" customHeight="false" outlineLevel="0" collapsed="false">
      <c r="A10" s="0" t="n">
        <v>8</v>
      </c>
      <c r="B10" s="0" t="s">
        <v>48</v>
      </c>
      <c r="C10" s="0" t="s">
        <v>46</v>
      </c>
      <c r="D10" s="0" t="s">
        <v>52</v>
      </c>
      <c r="E10" s="0" t="s">
        <v>54</v>
      </c>
      <c r="F10" s="0" t="s">
        <v>50</v>
      </c>
    </row>
    <row r="11" customFormat="false" ht="15" hidden="false" customHeight="false" outlineLevel="0" collapsed="false">
      <c r="A11" s="0" t="n">
        <v>9</v>
      </c>
      <c r="B11" s="0" t="s">
        <v>50</v>
      </c>
      <c r="C11" s="0" t="s">
        <v>40</v>
      </c>
      <c r="D11" s="0" t="s">
        <v>58</v>
      </c>
      <c r="E11" s="0" t="s">
        <v>95</v>
      </c>
      <c r="F11" s="0" t="s">
        <v>58</v>
      </c>
    </row>
    <row r="12" customFormat="false" ht="15" hidden="false" customHeight="false" outlineLevel="0" collapsed="false">
      <c r="A12" s="0" t="n">
        <v>10</v>
      </c>
      <c r="B12" s="0" t="s">
        <v>54</v>
      </c>
      <c r="C12" s="0" t="s">
        <v>95</v>
      </c>
      <c r="D12" s="0" t="s">
        <v>44</v>
      </c>
      <c r="E12" s="0" t="s">
        <v>46</v>
      </c>
      <c r="F12" s="0" t="s">
        <v>97</v>
      </c>
    </row>
    <row r="13" customFormat="false" ht="15" hidden="false" customHeight="false" outlineLevel="0" collapsed="false">
      <c r="A13" s="0" t="n">
        <v>11</v>
      </c>
      <c r="B13" s="0" t="s">
        <v>48</v>
      </c>
      <c r="C13" s="0" t="s">
        <v>60</v>
      </c>
      <c r="D13" s="0" t="s">
        <v>46</v>
      </c>
      <c r="E13" s="0" t="s">
        <v>40</v>
      </c>
      <c r="F13" s="0" t="s">
        <v>58</v>
      </c>
    </row>
    <row r="14" customFormat="false" ht="15" hidden="false" customHeight="false" outlineLevel="0" collapsed="false">
      <c r="A14" s="0" t="n">
        <v>12</v>
      </c>
      <c r="B14" s="0" t="s">
        <v>50</v>
      </c>
      <c r="C14" s="0" t="s">
        <v>58</v>
      </c>
      <c r="D14" s="0" t="s">
        <v>40</v>
      </c>
      <c r="E14" s="0" t="s">
        <v>42</v>
      </c>
      <c r="F14" s="0" t="s">
        <v>60</v>
      </c>
    </row>
    <row r="15" customFormat="false" ht="15" hidden="false" customHeight="false" outlineLevel="0" collapsed="false">
      <c r="A15" s="0" t="n">
        <v>13</v>
      </c>
      <c r="B15" s="0" t="s">
        <v>52</v>
      </c>
      <c r="C15" s="0" t="s">
        <v>56</v>
      </c>
      <c r="D15" s="0" t="s">
        <v>58</v>
      </c>
      <c r="E15" s="0" t="s">
        <v>54</v>
      </c>
      <c r="F15" s="0" t="s">
        <v>44</v>
      </c>
    </row>
    <row r="16" customFormat="false" ht="15" hidden="false" customHeight="false" outlineLevel="0" collapsed="false">
      <c r="A16" s="0" t="n">
        <v>14</v>
      </c>
      <c r="B16" s="0" t="s">
        <v>40</v>
      </c>
      <c r="C16" s="0" t="s">
        <v>42</v>
      </c>
      <c r="D16" s="0" t="s">
        <v>54</v>
      </c>
      <c r="E16" s="0" t="s">
        <v>44</v>
      </c>
      <c r="F16" s="0" t="s">
        <v>48</v>
      </c>
    </row>
    <row r="17" customFormat="false" ht="15" hidden="false" customHeight="false" outlineLevel="0" collapsed="false">
      <c r="A17" s="0" t="n">
        <v>15</v>
      </c>
      <c r="B17" s="0" t="s">
        <v>60</v>
      </c>
      <c r="C17" s="0" t="s">
        <v>95</v>
      </c>
      <c r="D17" s="0" t="s">
        <v>54</v>
      </c>
      <c r="E17" s="0" t="s">
        <v>54</v>
      </c>
      <c r="F17" s="0" t="s">
        <v>50</v>
      </c>
    </row>
    <row r="18" customFormat="false" ht="15" hidden="false" customHeight="false" outlineLevel="0" collapsed="false">
      <c r="A18" s="0" t="n">
        <v>16</v>
      </c>
      <c r="B18" s="0" t="s">
        <v>54</v>
      </c>
      <c r="C18" s="0" t="s">
        <v>58</v>
      </c>
      <c r="D18" s="0" t="s">
        <v>95</v>
      </c>
      <c r="E18" s="0" t="s">
        <v>60</v>
      </c>
      <c r="F18" s="0" t="s">
        <v>52</v>
      </c>
    </row>
    <row r="19" customFormat="false" ht="15" hidden="false" customHeight="false" outlineLevel="0" collapsed="false">
      <c r="A19" s="0" t="n">
        <v>17</v>
      </c>
      <c r="B19" s="0" t="s">
        <v>56</v>
      </c>
      <c r="C19" s="0" t="s">
        <v>50</v>
      </c>
      <c r="D19" s="0" t="s">
        <v>60</v>
      </c>
      <c r="E19" s="0" t="s">
        <v>56</v>
      </c>
      <c r="F19" s="0" t="s">
        <v>56</v>
      </c>
    </row>
    <row r="20" customFormat="false" ht="15" hidden="false" customHeight="false" outlineLevel="0" collapsed="false">
      <c r="A20" s="0" t="n">
        <v>18</v>
      </c>
      <c r="B20" s="0" t="s">
        <v>58</v>
      </c>
      <c r="C20" s="0" t="s">
        <v>46</v>
      </c>
      <c r="D20" s="0" t="s">
        <v>44</v>
      </c>
      <c r="E20" s="0" t="s">
        <v>95</v>
      </c>
      <c r="F20" s="0" t="s">
        <v>44</v>
      </c>
    </row>
    <row r="21" customFormat="false" ht="15" hidden="false" customHeight="false" outlineLevel="0" collapsed="false">
      <c r="A21" s="0" t="n">
        <v>19</v>
      </c>
      <c r="B21" s="0" t="s">
        <v>46</v>
      </c>
      <c r="C21" s="0" t="s">
        <v>60</v>
      </c>
      <c r="D21" s="0" t="s">
        <v>56</v>
      </c>
      <c r="E21" s="0" t="s">
        <v>46</v>
      </c>
      <c r="F21" s="0" t="s">
        <v>54</v>
      </c>
    </row>
    <row r="22" customFormat="false" ht="15" hidden="false" customHeight="false" outlineLevel="0" collapsed="false">
      <c r="A22" s="0" t="n">
        <v>20</v>
      </c>
      <c r="B22" s="0" t="s">
        <v>58</v>
      </c>
      <c r="C22" s="0" t="s">
        <v>60</v>
      </c>
      <c r="D22" s="0" t="s">
        <v>60</v>
      </c>
      <c r="E22" s="0" t="s">
        <v>60</v>
      </c>
      <c r="F22" s="0" t="s">
        <v>97</v>
      </c>
    </row>
    <row r="23" customFormat="false" ht="15" hidden="false" customHeight="false" outlineLevel="0" collapsed="false">
      <c r="A23" s="0" t="n">
        <v>21</v>
      </c>
      <c r="B23" s="0" t="s">
        <v>46</v>
      </c>
      <c r="C23" s="0" t="s">
        <v>60</v>
      </c>
      <c r="D23" s="0" t="s">
        <v>40</v>
      </c>
      <c r="E23" s="0" t="s">
        <v>52</v>
      </c>
      <c r="F23" s="0" t="s">
        <v>54</v>
      </c>
    </row>
    <row r="24" customFormat="false" ht="15" hidden="false" customHeight="false" outlineLevel="0" collapsed="false">
      <c r="A24" s="0" t="n">
        <v>22</v>
      </c>
      <c r="B24" s="0" t="s">
        <v>58</v>
      </c>
      <c r="C24" s="0" t="s">
        <v>48</v>
      </c>
      <c r="D24" s="0" t="s">
        <v>96</v>
      </c>
      <c r="E24" s="0" t="s">
        <v>48</v>
      </c>
      <c r="F24" s="0" t="s">
        <v>46</v>
      </c>
    </row>
    <row r="25" customFormat="false" ht="15" hidden="false" customHeight="false" outlineLevel="0" collapsed="false">
      <c r="A25" s="0" t="n">
        <v>23</v>
      </c>
      <c r="B25" s="0" t="s">
        <v>44</v>
      </c>
      <c r="C25" s="0" t="s">
        <v>44</v>
      </c>
      <c r="D25" s="0" t="s">
        <v>46</v>
      </c>
      <c r="E25" s="0" t="s">
        <v>56</v>
      </c>
      <c r="F25" s="0" t="s">
        <v>46</v>
      </c>
    </row>
    <row r="26" customFormat="false" ht="15" hidden="false" customHeight="false" outlineLevel="0" collapsed="false">
      <c r="A26" s="0" t="n">
        <v>24</v>
      </c>
      <c r="B26" s="0" t="s">
        <v>56</v>
      </c>
      <c r="C26" s="0" t="s">
        <v>58</v>
      </c>
      <c r="D26" s="0" t="s">
        <v>95</v>
      </c>
      <c r="E26" s="0" t="s">
        <v>58</v>
      </c>
      <c r="F26" s="0" t="s">
        <v>97</v>
      </c>
    </row>
    <row r="27" customFormat="false" ht="15" hidden="false" customHeight="false" outlineLevel="0" collapsed="false">
      <c r="A27" s="0" t="n">
        <v>25</v>
      </c>
      <c r="B27" s="0" t="s">
        <v>44</v>
      </c>
      <c r="C27" s="0" t="s">
        <v>50</v>
      </c>
      <c r="D27" s="0" t="s">
        <v>52</v>
      </c>
      <c r="E27" s="0" t="s">
        <v>54</v>
      </c>
      <c r="F27" s="0" t="s">
        <v>46</v>
      </c>
    </row>
    <row r="28" customFormat="false" ht="15" hidden="false" customHeight="false" outlineLevel="0" collapsed="false">
      <c r="A28" s="0" t="n">
        <v>26</v>
      </c>
      <c r="B28" s="0" t="s">
        <v>44</v>
      </c>
      <c r="C28" s="0" t="s">
        <v>40</v>
      </c>
      <c r="D28" s="0" t="s">
        <v>46</v>
      </c>
      <c r="E28" s="0" t="s">
        <v>58</v>
      </c>
      <c r="F28" s="0" t="s">
        <v>50</v>
      </c>
    </row>
    <row r="29" customFormat="false" ht="15" hidden="false" customHeight="false" outlineLevel="0" collapsed="false">
      <c r="A29" s="0" t="n">
        <v>27</v>
      </c>
      <c r="B29" s="0" t="s">
        <v>54</v>
      </c>
      <c r="C29" s="0" t="s">
        <v>48</v>
      </c>
      <c r="D29" s="0" t="s">
        <v>48</v>
      </c>
      <c r="E29" s="0" t="s">
        <v>52</v>
      </c>
      <c r="F29" s="0" t="s">
        <v>44</v>
      </c>
    </row>
    <row r="30" customFormat="false" ht="15" hidden="false" customHeight="false" outlineLevel="0" collapsed="false">
      <c r="A30" s="0" t="n">
        <v>28</v>
      </c>
      <c r="B30" s="0" t="s">
        <v>40</v>
      </c>
      <c r="C30" s="0" t="s">
        <v>56</v>
      </c>
      <c r="D30" s="0" t="s">
        <v>52</v>
      </c>
      <c r="E30" s="0" t="s">
        <v>96</v>
      </c>
      <c r="F30" s="0" t="s">
        <v>97</v>
      </c>
    </row>
    <row r="31" customFormat="false" ht="15" hidden="false" customHeight="false" outlineLevel="0" collapsed="false">
      <c r="A31" s="0" t="n">
        <v>29</v>
      </c>
      <c r="B31" s="0" t="s">
        <v>44</v>
      </c>
      <c r="C31" s="0" t="s">
        <v>52</v>
      </c>
      <c r="D31" s="0" t="s">
        <v>48</v>
      </c>
      <c r="E31" s="0" t="s">
        <v>95</v>
      </c>
      <c r="F31" s="0" t="s">
        <v>42</v>
      </c>
    </row>
    <row r="32" customFormat="false" ht="15" hidden="false" customHeight="false" outlineLevel="0" collapsed="false">
      <c r="A32" s="0" t="n">
        <v>30</v>
      </c>
      <c r="B32" s="0" t="s">
        <v>48</v>
      </c>
      <c r="C32" s="0" t="s">
        <v>56</v>
      </c>
      <c r="D32" s="0" t="s">
        <v>54</v>
      </c>
      <c r="E32" s="0" t="s">
        <v>44</v>
      </c>
      <c r="F32" s="0" t="s">
        <v>56</v>
      </c>
    </row>
    <row r="33" customFormat="false" ht="15" hidden="false" customHeight="false" outlineLevel="0" collapsed="false">
      <c r="A33" s="0" t="n">
        <v>31</v>
      </c>
      <c r="B33" s="0" t="s">
        <v>60</v>
      </c>
      <c r="C33" s="0" t="s">
        <v>40</v>
      </c>
      <c r="D33" s="0" t="s">
        <v>46</v>
      </c>
      <c r="E33" s="0" t="s">
        <v>50</v>
      </c>
      <c r="F33" s="0" t="s">
        <v>54</v>
      </c>
    </row>
    <row r="34" customFormat="false" ht="15" hidden="false" customHeight="false" outlineLevel="0" collapsed="false">
      <c r="A34" s="0" t="n">
        <v>32</v>
      </c>
      <c r="B34" s="0" t="s">
        <v>48</v>
      </c>
      <c r="C34" s="0" t="s">
        <v>42</v>
      </c>
      <c r="D34" s="0" t="s">
        <v>58</v>
      </c>
      <c r="E34" s="0" t="s">
        <v>56</v>
      </c>
      <c r="F34" s="0" t="s">
        <v>46</v>
      </c>
    </row>
    <row r="35" customFormat="false" ht="15" hidden="false" customHeight="false" outlineLevel="0" collapsed="false">
      <c r="A35" s="0" t="n">
        <v>33</v>
      </c>
      <c r="B35" s="0" t="s">
        <v>46</v>
      </c>
      <c r="C35" s="0" t="s">
        <v>60</v>
      </c>
      <c r="D35" s="0" t="s">
        <v>42</v>
      </c>
      <c r="E35" s="0" t="s">
        <v>95</v>
      </c>
      <c r="F35" s="0" t="s">
        <v>60</v>
      </c>
    </row>
    <row r="36" customFormat="false" ht="15" hidden="false" customHeight="false" outlineLevel="0" collapsed="false">
      <c r="A36" s="0" t="n">
        <v>34</v>
      </c>
      <c r="B36" s="0" t="s">
        <v>50</v>
      </c>
      <c r="C36" s="0" t="s">
        <v>46</v>
      </c>
      <c r="D36" s="0" t="s">
        <v>48</v>
      </c>
      <c r="E36" s="0" t="s">
        <v>95</v>
      </c>
      <c r="F36" s="0" t="s">
        <v>54</v>
      </c>
    </row>
    <row r="37" customFormat="false" ht="15" hidden="false" customHeight="false" outlineLevel="0" collapsed="false">
      <c r="A37" s="0" t="n">
        <v>35</v>
      </c>
      <c r="B37" s="0" t="s">
        <v>46</v>
      </c>
      <c r="C37" s="0" t="s">
        <v>95</v>
      </c>
      <c r="D37" s="0" t="s">
        <v>50</v>
      </c>
      <c r="E37" s="0" t="s">
        <v>40</v>
      </c>
      <c r="F37" s="0" t="s">
        <v>60</v>
      </c>
    </row>
    <row r="38" customFormat="false" ht="15" hidden="false" customHeight="false" outlineLevel="0" collapsed="false">
      <c r="A38" s="0" t="n">
        <v>36</v>
      </c>
      <c r="B38" s="0" t="s">
        <v>50</v>
      </c>
      <c r="C38" s="0" t="s">
        <v>95</v>
      </c>
      <c r="D38" s="0" t="s">
        <v>48</v>
      </c>
      <c r="E38" s="0" t="s">
        <v>44</v>
      </c>
      <c r="F38" s="0" t="s">
        <v>46</v>
      </c>
    </row>
    <row r="39" customFormat="false" ht="15" hidden="false" customHeight="false" outlineLevel="0" collapsed="false">
      <c r="A39" s="0" t="n">
        <v>37</v>
      </c>
      <c r="B39" s="0" t="s">
        <v>44</v>
      </c>
      <c r="C39" s="0" t="s">
        <v>56</v>
      </c>
      <c r="D39" s="0" t="s">
        <v>40</v>
      </c>
      <c r="E39" s="0" t="s">
        <v>40</v>
      </c>
      <c r="F39" s="0" t="s">
        <v>54</v>
      </c>
    </row>
    <row r="40" customFormat="false" ht="15" hidden="false" customHeight="false" outlineLevel="0" collapsed="false">
      <c r="A40" s="0" t="n">
        <v>38</v>
      </c>
      <c r="B40" s="0" t="s">
        <v>44</v>
      </c>
      <c r="C40" s="0" t="s">
        <v>46</v>
      </c>
      <c r="D40" s="0" t="s">
        <v>95</v>
      </c>
      <c r="E40" s="0" t="s">
        <v>50</v>
      </c>
      <c r="F40" s="0" t="s">
        <v>44</v>
      </c>
    </row>
    <row r="41" customFormat="false" ht="15" hidden="false" customHeight="false" outlineLevel="0" collapsed="false">
      <c r="A41" s="0" t="n">
        <v>39</v>
      </c>
      <c r="B41" s="0" t="s">
        <v>48</v>
      </c>
      <c r="C41" s="0" t="s">
        <v>54</v>
      </c>
      <c r="D41" s="0" t="s">
        <v>44</v>
      </c>
      <c r="E41" s="0" t="s">
        <v>46</v>
      </c>
      <c r="F41" s="0" t="s">
        <v>44</v>
      </c>
    </row>
    <row r="42" customFormat="false" ht="15" hidden="false" customHeight="false" outlineLevel="0" collapsed="false">
      <c r="A42" s="0" t="n">
        <v>40</v>
      </c>
      <c r="B42" s="0" t="s">
        <v>60</v>
      </c>
      <c r="C42" s="0" t="s">
        <v>96</v>
      </c>
      <c r="D42" s="0" t="s">
        <v>56</v>
      </c>
      <c r="E42" s="0" t="s">
        <v>54</v>
      </c>
      <c r="F42" s="0" t="s">
        <v>56</v>
      </c>
    </row>
    <row r="43" customFormat="false" ht="15" hidden="false" customHeight="false" outlineLevel="0" collapsed="false">
      <c r="A43" s="0" t="n">
        <v>41</v>
      </c>
      <c r="B43" s="0" t="s">
        <v>58</v>
      </c>
      <c r="C43" s="0" t="s">
        <v>44</v>
      </c>
      <c r="D43" s="0" t="s">
        <v>44</v>
      </c>
      <c r="E43" s="0" t="s">
        <v>52</v>
      </c>
      <c r="F43" s="0" t="s">
        <v>52</v>
      </c>
    </row>
    <row r="44" customFormat="false" ht="15" hidden="false" customHeight="false" outlineLevel="0" collapsed="false">
      <c r="A44" s="0" t="n">
        <v>42</v>
      </c>
      <c r="B44" s="0" t="s">
        <v>52</v>
      </c>
      <c r="C44" s="0" t="s">
        <v>54</v>
      </c>
      <c r="D44" s="0" t="s">
        <v>95</v>
      </c>
      <c r="E44" s="0" t="s">
        <v>46</v>
      </c>
      <c r="F44" s="0" t="s">
        <v>40</v>
      </c>
    </row>
    <row r="45" customFormat="false" ht="15" hidden="false" customHeight="false" outlineLevel="0" collapsed="false">
      <c r="A45" s="0" t="n">
        <v>43</v>
      </c>
      <c r="B45" s="0" t="s">
        <v>60</v>
      </c>
      <c r="C45" s="0" t="s">
        <v>48</v>
      </c>
      <c r="D45" s="0" t="s">
        <v>54</v>
      </c>
      <c r="E45" s="0" t="s">
        <v>96</v>
      </c>
      <c r="F45" s="0" t="s">
        <v>52</v>
      </c>
    </row>
    <row r="46" customFormat="false" ht="15" hidden="false" customHeight="false" outlineLevel="0" collapsed="false">
      <c r="A46" s="0" t="n">
        <v>44</v>
      </c>
      <c r="B46" s="0" t="s">
        <v>40</v>
      </c>
      <c r="C46" s="0" t="s">
        <v>48</v>
      </c>
      <c r="D46" s="0" t="s">
        <v>46</v>
      </c>
      <c r="E46" s="0" t="s">
        <v>56</v>
      </c>
      <c r="F46" s="0" t="s">
        <v>42</v>
      </c>
    </row>
    <row r="47" customFormat="false" ht="15" hidden="false" customHeight="false" outlineLevel="0" collapsed="false">
      <c r="A47" s="0" t="n">
        <v>45</v>
      </c>
      <c r="B47" s="0" t="s">
        <v>42</v>
      </c>
      <c r="C47" s="0" t="s">
        <v>95</v>
      </c>
      <c r="D47" s="0" t="s">
        <v>96</v>
      </c>
      <c r="E47" s="0" t="s">
        <v>95</v>
      </c>
      <c r="F47" s="0" t="s">
        <v>48</v>
      </c>
    </row>
    <row r="48" customFormat="false" ht="15" hidden="false" customHeight="false" outlineLevel="0" collapsed="false">
      <c r="A48" s="0" t="n">
        <v>46</v>
      </c>
      <c r="B48" s="0" t="s">
        <v>52</v>
      </c>
      <c r="C48" s="0" t="s">
        <v>54</v>
      </c>
      <c r="D48" s="0" t="s">
        <v>42</v>
      </c>
      <c r="E48" s="0" t="s">
        <v>50</v>
      </c>
      <c r="F48" s="0" t="s">
        <v>56</v>
      </c>
    </row>
    <row r="49" customFormat="false" ht="15" hidden="false" customHeight="false" outlineLevel="0" collapsed="false">
      <c r="A49" s="0" t="n">
        <v>47</v>
      </c>
      <c r="B49" s="0" t="s">
        <v>56</v>
      </c>
      <c r="C49" s="0" t="s">
        <v>96</v>
      </c>
      <c r="D49" s="0" t="s">
        <v>60</v>
      </c>
      <c r="E49" s="0" t="s">
        <v>95</v>
      </c>
      <c r="F49" s="0" t="s">
        <v>50</v>
      </c>
    </row>
    <row r="50" customFormat="false" ht="15" hidden="false" customHeight="false" outlineLevel="0" collapsed="false">
      <c r="A50" s="0" t="n">
        <v>48</v>
      </c>
      <c r="B50" s="0" t="s">
        <v>40</v>
      </c>
      <c r="C50" s="0" t="s">
        <v>52</v>
      </c>
      <c r="D50" s="0" t="s">
        <v>44</v>
      </c>
      <c r="E50" s="0" t="s">
        <v>95</v>
      </c>
      <c r="F50" s="0" t="s">
        <v>96</v>
      </c>
    </row>
    <row r="51" customFormat="false" ht="15" hidden="false" customHeight="false" outlineLevel="0" collapsed="false">
      <c r="A51" s="0" t="n">
        <v>49</v>
      </c>
      <c r="B51" s="0" t="s">
        <v>46</v>
      </c>
      <c r="C51" s="0" t="s">
        <v>95</v>
      </c>
      <c r="D51" s="0" t="s">
        <v>60</v>
      </c>
      <c r="E51" s="0" t="s">
        <v>60</v>
      </c>
      <c r="F51" s="0" t="s">
        <v>50</v>
      </c>
    </row>
    <row r="52" customFormat="false" ht="15" hidden="false" customHeight="false" outlineLevel="0" collapsed="false">
      <c r="A52" s="0" t="n">
        <v>50</v>
      </c>
      <c r="B52" s="0" t="s">
        <v>54</v>
      </c>
      <c r="C52" s="0" t="s">
        <v>50</v>
      </c>
      <c r="D52" s="0" t="s">
        <v>50</v>
      </c>
      <c r="E52" s="0" t="s">
        <v>40</v>
      </c>
      <c r="F52" s="0" t="s">
        <v>60</v>
      </c>
    </row>
    <row r="53" customFormat="false" ht="15" hidden="false" customHeight="false" outlineLevel="0" collapsed="false">
      <c r="A53" s="0" t="n">
        <v>51</v>
      </c>
      <c r="B53" s="0" t="s">
        <v>52</v>
      </c>
      <c r="C53" s="0" t="s">
        <v>56</v>
      </c>
      <c r="D53" s="0" t="s">
        <v>52</v>
      </c>
      <c r="E53" s="0" t="s">
        <v>52</v>
      </c>
      <c r="F53" s="0" t="s">
        <v>60</v>
      </c>
    </row>
    <row r="54" customFormat="false" ht="15" hidden="false" customHeight="false" outlineLevel="0" collapsed="false">
      <c r="A54" s="0" t="n">
        <v>52</v>
      </c>
      <c r="B54" s="0" t="s">
        <v>42</v>
      </c>
      <c r="C54" s="0" t="s">
        <v>52</v>
      </c>
      <c r="D54" s="0" t="s">
        <v>56</v>
      </c>
      <c r="E54" s="0" t="s">
        <v>56</v>
      </c>
      <c r="F54" s="0" t="s">
        <v>50</v>
      </c>
    </row>
    <row r="55" customFormat="false" ht="15" hidden="false" customHeight="false" outlineLevel="0" collapsed="false">
      <c r="A55" s="0" t="n">
        <v>53</v>
      </c>
      <c r="B55" s="0" t="s">
        <v>52</v>
      </c>
      <c r="C55" s="0" t="s">
        <v>54</v>
      </c>
      <c r="D55" s="0" t="s">
        <v>48</v>
      </c>
      <c r="E55" s="0" t="s">
        <v>44</v>
      </c>
      <c r="F55" s="0" t="s">
        <v>42</v>
      </c>
    </row>
    <row r="56" customFormat="false" ht="15" hidden="false" customHeight="false" outlineLevel="0" collapsed="false">
      <c r="A56" s="0" t="n">
        <v>54</v>
      </c>
      <c r="B56" s="0" t="s">
        <v>54</v>
      </c>
      <c r="C56" s="0" t="s">
        <v>50</v>
      </c>
      <c r="D56" s="0" t="s">
        <v>95</v>
      </c>
      <c r="E56" s="0" t="s">
        <v>42</v>
      </c>
      <c r="F56" s="0" t="s">
        <v>97</v>
      </c>
    </row>
    <row r="57" customFormat="false" ht="15" hidden="false" customHeight="false" outlineLevel="0" collapsed="false">
      <c r="A57" s="0" t="n">
        <v>55</v>
      </c>
      <c r="B57" s="0" t="s">
        <v>52</v>
      </c>
      <c r="C57" s="0" t="s">
        <v>56</v>
      </c>
      <c r="D57" s="0" t="s">
        <v>56</v>
      </c>
      <c r="E57" s="0" t="s">
        <v>60</v>
      </c>
      <c r="F57" s="0" t="s">
        <v>56</v>
      </c>
    </row>
    <row r="58" customFormat="false" ht="15" hidden="false" customHeight="false" outlineLevel="0" collapsed="false">
      <c r="A58" s="0" t="n">
        <v>56</v>
      </c>
      <c r="B58" s="0" t="s">
        <v>50</v>
      </c>
      <c r="C58" s="0" t="s">
        <v>58</v>
      </c>
      <c r="D58" s="0" t="s">
        <v>46</v>
      </c>
      <c r="E58" s="0" t="s">
        <v>50</v>
      </c>
      <c r="F58" s="0" t="s">
        <v>58</v>
      </c>
    </row>
    <row r="59" customFormat="false" ht="15" hidden="false" customHeight="false" outlineLevel="0" collapsed="false">
      <c r="A59" s="0" t="n">
        <v>57</v>
      </c>
      <c r="B59" s="0" t="s">
        <v>60</v>
      </c>
      <c r="C59" s="0" t="s">
        <v>95</v>
      </c>
      <c r="D59" s="0" t="s">
        <v>50</v>
      </c>
      <c r="E59" s="0" t="s">
        <v>42</v>
      </c>
      <c r="F59" s="0" t="s">
        <v>58</v>
      </c>
    </row>
    <row r="60" customFormat="false" ht="15" hidden="false" customHeight="false" outlineLevel="0" collapsed="false">
      <c r="A60" s="0" t="n">
        <v>58</v>
      </c>
      <c r="B60" s="0" t="s">
        <v>58</v>
      </c>
      <c r="C60" s="0" t="s">
        <v>42</v>
      </c>
      <c r="D60" s="0" t="s">
        <v>95</v>
      </c>
      <c r="E60" s="0" t="s">
        <v>58</v>
      </c>
      <c r="F60" s="0" t="s">
        <v>42</v>
      </c>
    </row>
    <row r="61" customFormat="false" ht="15" hidden="false" customHeight="false" outlineLevel="0" collapsed="false">
      <c r="A61" s="0" t="n">
        <v>59</v>
      </c>
      <c r="B61" s="0" t="s">
        <v>96</v>
      </c>
      <c r="C61" s="0" t="s">
        <v>50</v>
      </c>
      <c r="D61" s="0" t="s">
        <v>52</v>
      </c>
      <c r="E61" s="0" t="s">
        <v>44</v>
      </c>
      <c r="F61" s="0" t="s">
        <v>52</v>
      </c>
    </row>
    <row r="62" customFormat="false" ht="15" hidden="false" customHeight="false" outlineLevel="0" collapsed="false">
      <c r="A62" s="0" t="n">
        <v>60</v>
      </c>
      <c r="B62" s="0" t="s">
        <v>42</v>
      </c>
      <c r="C62" s="0" t="s">
        <v>58</v>
      </c>
      <c r="D62" s="0" t="s">
        <v>40</v>
      </c>
      <c r="E62" s="0" t="s">
        <v>60</v>
      </c>
      <c r="F62" s="0" t="s">
        <v>56</v>
      </c>
    </row>
    <row r="63" customFormat="false" ht="15" hidden="false" customHeight="false" outlineLevel="0" collapsed="false">
      <c r="A63" s="0" t="n">
        <v>61</v>
      </c>
      <c r="B63" s="0" t="s">
        <v>48</v>
      </c>
      <c r="C63" s="0" t="s">
        <v>52</v>
      </c>
      <c r="D63" s="0" t="s">
        <v>50</v>
      </c>
      <c r="E63" s="0" t="s">
        <v>42</v>
      </c>
      <c r="F63" s="0" t="s">
        <v>52</v>
      </c>
    </row>
    <row r="64" customFormat="false" ht="15" hidden="false" customHeight="false" outlineLevel="0" collapsed="false">
      <c r="A64" s="0" t="n">
        <v>62</v>
      </c>
      <c r="B64" s="0" t="s">
        <v>96</v>
      </c>
      <c r="C64" s="0" t="s">
        <v>48</v>
      </c>
      <c r="D64" s="0" t="s">
        <v>60</v>
      </c>
      <c r="E64" s="0" t="s">
        <v>95</v>
      </c>
      <c r="F64" s="0" t="s">
        <v>48</v>
      </c>
    </row>
    <row r="65" customFormat="false" ht="15" hidden="false" customHeight="false" outlineLevel="0" collapsed="false">
      <c r="A65" s="0" t="n">
        <v>63</v>
      </c>
      <c r="B65" s="0" t="s">
        <v>42</v>
      </c>
      <c r="C65" s="0" t="s">
        <v>40</v>
      </c>
      <c r="D65" s="0" t="s">
        <v>42</v>
      </c>
      <c r="E65" s="0" t="s">
        <v>46</v>
      </c>
      <c r="F65" s="0" t="s">
        <v>40</v>
      </c>
    </row>
    <row r="66" customFormat="false" ht="15" hidden="false" customHeight="false" outlineLevel="0" collapsed="false">
      <c r="A66" s="0" t="n">
        <v>64</v>
      </c>
      <c r="B66" s="0" t="s">
        <v>52</v>
      </c>
      <c r="C66" s="0" t="s">
        <v>44</v>
      </c>
      <c r="D66" s="0" t="s">
        <v>56</v>
      </c>
      <c r="E66" s="0" t="s">
        <v>95</v>
      </c>
      <c r="F66" s="0" t="s">
        <v>60</v>
      </c>
    </row>
    <row r="67" customFormat="false" ht="15" hidden="false" customHeight="false" outlineLevel="0" collapsed="false">
      <c r="A67" s="0" t="n">
        <v>65</v>
      </c>
      <c r="B67" s="0" t="s">
        <v>56</v>
      </c>
      <c r="C67" s="0" t="s">
        <v>46</v>
      </c>
      <c r="D67" s="0" t="s">
        <v>52</v>
      </c>
      <c r="E67" s="0" t="s">
        <v>42</v>
      </c>
      <c r="F67" s="0" t="s">
        <v>42</v>
      </c>
    </row>
    <row r="68" customFormat="false" ht="15" hidden="false" customHeight="false" outlineLevel="0" collapsed="false">
      <c r="A68" s="0" t="n">
        <v>66</v>
      </c>
      <c r="B68" s="0" t="s">
        <v>58</v>
      </c>
      <c r="C68" s="0" t="s">
        <v>95</v>
      </c>
      <c r="D68" s="0" t="s">
        <v>95</v>
      </c>
      <c r="E68" s="0" t="s">
        <v>58</v>
      </c>
      <c r="F68" s="0" t="s">
        <v>52</v>
      </c>
    </row>
    <row r="69" customFormat="false" ht="15" hidden="false" customHeight="false" outlineLevel="0" collapsed="false">
      <c r="A69" s="0" t="n">
        <v>67</v>
      </c>
      <c r="B69" s="0" t="s">
        <v>60</v>
      </c>
      <c r="C69" s="0" t="s">
        <v>52</v>
      </c>
      <c r="D69" s="0" t="s">
        <v>54</v>
      </c>
      <c r="E69" s="0" t="s">
        <v>60</v>
      </c>
      <c r="F69" s="0" t="s">
        <v>40</v>
      </c>
    </row>
    <row r="70" customFormat="false" ht="15" hidden="false" customHeight="false" outlineLevel="0" collapsed="false">
      <c r="A70" s="0" t="n">
        <v>68</v>
      </c>
      <c r="B70" s="0" t="s">
        <v>50</v>
      </c>
      <c r="C70" s="0" t="s">
        <v>58</v>
      </c>
      <c r="D70" s="0" t="s">
        <v>60</v>
      </c>
      <c r="E70" s="0" t="s">
        <v>58</v>
      </c>
      <c r="F70" s="0" t="s">
        <v>56</v>
      </c>
    </row>
    <row r="71" customFormat="false" ht="15" hidden="false" customHeight="false" outlineLevel="0" collapsed="false">
      <c r="A71" s="0" t="n">
        <v>69</v>
      </c>
      <c r="B71" s="0" t="s">
        <v>54</v>
      </c>
      <c r="C71" s="0" t="s">
        <v>44</v>
      </c>
      <c r="D71" s="0" t="s">
        <v>48</v>
      </c>
      <c r="E71" s="0" t="s">
        <v>48</v>
      </c>
      <c r="F71" s="0" t="s">
        <v>54</v>
      </c>
    </row>
    <row r="72" customFormat="false" ht="15" hidden="false" customHeight="false" outlineLevel="0" collapsed="false">
      <c r="A72" s="0" t="n">
        <v>70</v>
      </c>
      <c r="B72" s="0" t="s">
        <v>56</v>
      </c>
      <c r="C72" s="0" t="s">
        <v>44</v>
      </c>
      <c r="D72" s="0" t="s">
        <v>56</v>
      </c>
      <c r="E72" s="0" t="s">
        <v>50</v>
      </c>
      <c r="F72" s="0" t="s">
        <v>48</v>
      </c>
    </row>
    <row r="73" customFormat="false" ht="15" hidden="false" customHeight="false" outlineLevel="0" collapsed="false">
      <c r="A73" s="0" t="n">
        <v>71</v>
      </c>
      <c r="B73" s="0" t="s">
        <v>58</v>
      </c>
      <c r="C73" s="0" t="s">
        <v>52</v>
      </c>
      <c r="D73" s="0" t="s">
        <v>58</v>
      </c>
      <c r="E73" s="0" t="s">
        <v>48</v>
      </c>
      <c r="F73" s="0" t="s">
        <v>48</v>
      </c>
    </row>
    <row r="74" customFormat="false" ht="15" hidden="false" customHeight="false" outlineLevel="0" collapsed="false">
      <c r="A74" s="0" t="n">
        <v>72</v>
      </c>
      <c r="C74" s="0" t="s">
        <v>58</v>
      </c>
      <c r="D74" s="0" t="s">
        <v>48</v>
      </c>
      <c r="E74" s="0" t="s">
        <v>48</v>
      </c>
      <c r="F74" s="0" t="s">
        <v>97</v>
      </c>
    </row>
    <row r="75" customFormat="false" ht="15" hidden="false" customHeight="false" outlineLevel="0" collapsed="false">
      <c r="A75" s="0" t="n">
        <v>73</v>
      </c>
      <c r="C75" s="0" t="s">
        <v>95</v>
      </c>
      <c r="D75" s="0" t="s">
        <v>54</v>
      </c>
      <c r="E75" s="0" t="s">
        <v>56</v>
      </c>
      <c r="F75" s="0" t="s">
        <v>52</v>
      </c>
    </row>
    <row r="76" customFormat="false" ht="15" hidden="false" customHeight="false" outlineLevel="0" collapsed="false">
      <c r="A76" s="0" t="n">
        <v>74</v>
      </c>
      <c r="C76" s="0" t="s">
        <v>52</v>
      </c>
      <c r="D76" s="0" t="s">
        <v>52</v>
      </c>
      <c r="E76" s="0" t="s">
        <v>46</v>
      </c>
      <c r="F76" s="0" t="s">
        <v>44</v>
      </c>
    </row>
    <row r="77" customFormat="false" ht="15" hidden="false" customHeight="false" outlineLevel="0" collapsed="false">
      <c r="A77" s="0" t="n">
        <v>75</v>
      </c>
      <c r="C77" s="0" t="s">
        <v>46</v>
      </c>
      <c r="D77" s="0" t="s">
        <v>42</v>
      </c>
      <c r="E77" s="0" t="s">
        <v>52</v>
      </c>
      <c r="F77" s="0" t="s">
        <v>58</v>
      </c>
    </row>
    <row r="78" customFormat="false" ht="15" hidden="false" customHeight="false" outlineLevel="0" collapsed="false">
      <c r="A78" s="0" t="n">
        <v>76</v>
      </c>
      <c r="C78" s="0" t="s">
        <v>54</v>
      </c>
      <c r="D78" s="0" t="s">
        <v>42</v>
      </c>
      <c r="E78" s="0" t="s">
        <v>50</v>
      </c>
      <c r="F78" s="0" t="s">
        <v>48</v>
      </c>
    </row>
    <row r="79" customFormat="false" ht="15" hidden="false" customHeight="false" outlineLevel="0" collapsed="false">
      <c r="A79" s="0" t="n">
        <v>77</v>
      </c>
      <c r="C79" s="0" t="s">
        <v>50</v>
      </c>
      <c r="D79" s="0" t="s">
        <v>58</v>
      </c>
      <c r="E79" s="0" t="s">
        <v>44</v>
      </c>
      <c r="F79" s="0" t="s">
        <v>40</v>
      </c>
    </row>
    <row r="80" customFormat="false" ht="15" hidden="false" customHeight="false" outlineLevel="0" collapsed="false">
      <c r="A80" s="0" t="n">
        <v>78</v>
      </c>
      <c r="C80" s="0" t="s">
        <v>42</v>
      </c>
      <c r="D80" s="0" t="s">
        <v>60</v>
      </c>
      <c r="E80" s="0" t="s">
        <v>54</v>
      </c>
    </row>
    <row r="81" customFormat="false" ht="15" hidden="false" customHeight="false" outlineLevel="0" collapsed="false">
      <c r="A81" s="0" t="n">
        <v>79</v>
      </c>
      <c r="C81" s="0" t="s">
        <v>50</v>
      </c>
      <c r="D81" s="0" t="s">
        <v>58</v>
      </c>
      <c r="E81" s="0" t="s">
        <v>52</v>
      </c>
    </row>
    <row r="82" customFormat="false" ht="15" hidden="false" customHeight="false" outlineLevel="0" collapsed="false">
      <c r="A82" s="0" t="n">
        <v>80</v>
      </c>
      <c r="C82" s="0" t="s">
        <v>54</v>
      </c>
      <c r="D82" s="0" t="s">
        <v>95</v>
      </c>
      <c r="E82" s="0" t="s">
        <v>48</v>
      </c>
    </row>
    <row r="83" customFormat="false" ht="15" hidden="false" customHeight="false" outlineLevel="0" collapsed="false">
      <c r="A83" s="0" t="n">
        <v>81</v>
      </c>
      <c r="C83" s="0" t="s">
        <v>54</v>
      </c>
      <c r="D83" s="0" t="s">
        <v>54</v>
      </c>
      <c r="E83" s="0" t="s"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26.85" hidden="false" customHeight="false" outlineLevel="0" collapsed="false">
      <c r="A1" s="3" t="s">
        <v>101</v>
      </c>
      <c r="B1" s="3" t="s">
        <v>90</v>
      </c>
      <c r="C1" s="3" t="s">
        <v>91</v>
      </c>
      <c r="D1" s="3" t="s">
        <v>92</v>
      </c>
      <c r="E1" s="3" t="s">
        <v>93</v>
      </c>
      <c r="F1" s="3" t="s">
        <v>94</v>
      </c>
    </row>
    <row r="2" customFormat="false" ht="15" hidden="false" customHeight="false" outlineLevel="0" collapsed="false">
      <c r="A2" s="0" t="n">
        <v>0</v>
      </c>
      <c r="B2" s="0" t="s">
        <v>42</v>
      </c>
      <c r="C2" s="0" t="s">
        <v>96</v>
      </c>
      <c r="D2" s="0" t="s">
        <v>50</v>
      </c>
      <c r="E2" s="0" t="s">
        <v>95</v>
      </c>
      <c r="F2" s="0" t="s">
        <v>54</v>
      </c>
    </row>
    <row r="3" customFormat="false" ht="15" hidden="false" customHeight="false" outlineLevel="0" collapsed="false">
      <c r="A3" s="0" t="n">
        <v>1</v>
      </c>
      <c r="B3" s="0" t="s">
        <v>42</v>
      </c>
      <c r="C3" s="0" t="s">
        <v>58</v>
      </c>
      <c r="D3" s="0" t="s">
        <v>52</v>
      </c>
      <c r="E3" s="0" t="s">
        <v>52</v>
      </c>
      <c r="F3" s="0" t="s">
        <v>60</v>
      </c>
    </row>
    <row r="4" customFormat="false" ht="15" hidden="false" customHeight="false" outlineLevel="0" collapsed="false">
      <c r="A4" s="0" t="n">
        <v>2</v>
      </c>
      <c r="B4" s="0" t="s">
        <v>46</v>
      </c>
      <c r="C4" s="0" t="s">
        <v>52</v>
      </c>
      <c r="D4" s="0" t="s">
        <v>52</v>
      </c>
      <c r="E4" s="0" t="s">
        <v>95</v>
      </c>
      <c r="F4" s="0" t="s">
        <v>50</v>
      </c>
    </row>
    <row r="5" customFormat="false" ht="15" hidden="false" customHeight="false" outlineLevel="0" collapsed="false">
      <c r="A5" s="0" t="n">
        <v>3</v>
      </c>
      <c r="B5" s="0" t="s">
        <v>46</v>
      </c>
      <c r="C5" s="0" t="s">
        <v>52</v>
      </c>
      <c r="D5" s="0" t="s">
        <v>48</v>
      </c>
      <c r="E5" s="0" t="s">
        <v>40</v>
      </c>
      <c r="F5" s="0" t="s">
        <v>54</v>
      </c>
    </row>
    <row r="6" customFormat="false" ht="15" hidden="false" customHeight="false" outlineLevel="0" collapsed="false">
      <c r="A6" s="0" t="n">
        <v>4</v>
      </c>
      <c r="B6" s="0" t="s">
        <v>52</v>
      </c>
      <c r="C6" s="0" t="s">
        <v>44</v>
      </c>
      <c r="D6" s="0" t="s">
        <v>58</v>
      </c>
      <c r="E6" s="0" t="s">
        <v>46</v>
      </c>
      <c r="F6" s="0" t="s">
        <v>58</v>
      </c>
    </row>
    <row r="7" customFormat="false" ht="15" hidden="false" customHeight="false" outlineLevel="0" collapsed="false">
      <c r="A7" s="0" t="n">
        <v>5</v>
      </c>
      <c r="B7" s="0" t="s">
        <v>52</v>
      </c>
      <c r="C7" s="0" t="s">
        <v>96</v>
      </c>
      <c r="D7" s="0" t="s">
        <v>58</v>
      </c>
      <c r="E7" s="0" t="s">
        <v>46</v>
      </c>
      <c r="F7" s="0" t="s">
        <v>54</v>
      </c>
    </row>
    <row r="8" customFormat="false" ht="15" hidden="false" customHeight="false" outlineLevel="0" collapsed="false">
      <c r="A8" s="0" t="n">
        <v>6</v>
      </c>
      <c r="B8" s="0" t="s">
        <v>60</v>
      </c>
      <c r="C8" s="0" t="s">
        <v>95</v>
      </c>
      <c r="D8" s="0" t="s">
        <v>58</v>
      </c>
      <c r="E8" s="0" t="s">
        <v>42</v>
      </c>
      <c r="F8" s="0" t="s">
        <v>54</v>
      </c>
    </row>
    <row r="9" customFormat="false" ht="15" hidden="false" customHeight="false" outlineLevel="0" collapsed="false">
      <c r="A9" s="0" t="n">
        <v>7</v>
      </c>
      <c r="B9" s="0" t="s">
        <v>52</v>
      </c>
      <c r="C9" s="0" t="s">
        <v>54</v>
      </c>
      <c r="D9" s="0" t="s">
        <v>52</v>
      </c>
      <c r="E9" s="0" t="s">
        <v>50</v>
      </c>
      <c r="F9" s="0" t="s">
        <v>60</v>
      </c>
    </row>
    <row r="10" customFormat="false" ht="15" hidden="false" customHeight="false" outlineLevel="0" collapsed="false">
      <c r="A10" s="0" t="n">
        <v>8</v>
      </c>
      <c r="B10" s="0" t="s">
        <v>52</v>
      </c>
      <c r="C10" s="0" t="s">
        <v>54</v>
      </c>
      <c r="D10" s="0" t="s">
        <v>52</v>
      </c>
      <c r="E10" s="0" t="s">
        <v>58</v>
      </c>
      <c r="F10" s="0" t="s">
        <v>60</v>
      </c>
    </row>
    <row r="11" customFormat="false" ht="15" hidden="false" customHeight="false" outlineLevel="0" collapsed="false">
      <c r="A11" s="0" t="n">
        <v>9</v>
      </c>
      <c r="B11" s="0" t="s">
        <v>48</v>
      </c>
      <c r="C11" s="0" t="s">
        <v>44</v>
      </c>
      <c r="D11" s="0" t="s">
        <v>96</v>
      </c>
      <c r="E11" s="0" t="s">
        <v>58</v>
      </c>
      <c r="F11" s="0" t="s">
        <v>44</v>
      </c>
    </row>
    <row r="12" customFormat="false" ht="15" hidden="false" customHeight="false" outlineLevel="0" collapsed="false">
      <c r="A12" s="0" t="n">
        <v>10</v>
      </c>
      <c r="B12" s="0" t="s">
        <v>48</v>
      </c>
      <c r="C12" s="0" t="s">
        <v>44</v>
      </c>
      <c r="D12" s="0" t="s">
        <v>50</v>
      </c>
      <c r="E12" s="0" t="s">
        <v>54</v>
      </c>
      <c r="F12" s="0" t="s">
        <v>44</v>
      </c>
    </row>
    <row r="13" customFormat="false" ht="15" hidden="false" customHeight="false" outlineLevel="0" collapsed="false">
      <c r="A13" s="0" t="n">
        <v>11</v>
      </c>
      <c r="B13" s="0" t="s">
        <v>54</v>
      </c>
      <c r="C13" s="0" t="s">
        <v>44</v>
      </c>
      <c r="D13" s="0" t="s">
        <v>50</v>
      </c>
      <c r="E13" s="0" t="s">
        <v>96</v>
      </c>
      <c r="F13" s="0" t="s">
        <v>60</v>
      </c>
    </row>
    <row r="14" customFormat="false" ht="15" hidden="false" customHeight="false" outlineLevel="0" collapsed="false">
      <c r="A14" s="0" t="n">
        <v>12</v>
      </c>
      <c r="B14" s="0" t="s">
        <v>44</v>
      </c>
      <c r="C14" s="0" t="s">
        <v>50</v>
      </c>
      <c r="D14" s="0" t="s">
        <v>54</v>
      </c>
      <c r="E14" s="0" t="s">
        <v>48</v>
      </c>
      <c r="F14" s="0" t="s">
        <v>60</v>
      </c>
    </row>
    <row r="15" customFormat="false" ht="15" hidden="false" customHeight="false" outlineLevel="0" collapsed="false">
      <c r="A15" s="0" t="n">
        <v>13</v>
      </c>
      <c r="B15" s="0" t="s">
        <v>44</v>
      </c>
      <c r="C15" s="0" t="s">
        <v>60</v>
      </c>
      <c r="D15" s="0" t="s">
        <v>54</v>
      </c>
      <c r="E15" s="0" t="s">
        <v>54</v>
      </c>
      <c r="F15" s="0" t="s">
        <v>60</v>
      </c>
    </row>
    <row r="16" customFormat="false" ht="15" hidden="false" customHeight="false" outlineLevel="0" collapsed="false">
      <c r="A16" s="0" t="n">
        <v>14</v>
      </c>
      <c r="B16" s="0" t="s">
        <v>54</v>
      </c>
      <c r="C16" s="0" t="s">
        <v>60</v>
      </c>
      <c r="D16" s="0" t="s">
        <v>48</v>
      </c>
      <c r="E16" s="0" t="s">
        <v>52</v>
      </c>
      <c r="F16" s="0" t="s">
        <v>56</v>
      </c>
    </row>
    <row r="17" customFormat="false" ht="15" hidden="false" customHeight="false" outlineLevel="0" collapsed="false">
      <c r="A17" s="0" t="n">
        <v>15</v>
      </c>
      <c r="B17" s="0" t="s">
        <v>50</v>
      </c>
      <c r="C17" s="0" t="s">
        <v>95</v>
      </c>
      <c r="D17" s="0" t="s">
        <v>48</v>
      </c>
      <c r="E17" s="0" t="s">
        <v>52</v>
      </c>
      <c r="F17" s="0" t="s">
        <v>48</v>
      </c>
    </row>
    <row r="18" customFormat="false" ht="15" hidden="false" customHeight="false" outlineLevel="0" collapsed="false">
      <c r="A18" s="0" t="n">
        <v>16</v>
      </c>
      <c r="B18" s="0" t="s">
        <v>50</v>
      </c>
      <c r="C18" s="0" t="s">
        <v>52</v>
      </c>
      <c r="D18" s="0" t="s">
        <v>46</v>
      </c>
      <c r="E18" s="0" t="s">
        <v>48</v>
      </c>
      <c r="F18" s="0" t="s">
        <v>48</v>
      </c>
    </row>
    <row r="19" customFormat="false" ht="15" hidden="false" customHeight="false" outlineLevel="0" collapsed="false">
      <c r="A19" s="0" t="n">
        <v>17</v>
      </c>
      <c r="B19" s="0" t="s">
        <v>56</v>
      </c>
      <c r="C19" s="0" t="s">
        <v>40</v>
      </c>
      <c r="D19" s="0" t="s">
        <v>46</v>
      </c>
      <c r="E19" s="0" t="s">
        <v>54</v>
      </c>
      <c r="F19" s="0" t="s">
        <v>60</v>
      </c>
    </row>
    <row r="20" customFormat="false" ht="15" hidden="false" customHeight="false" outlineLevel="0" collapsed="false">
      <c r="A20" s="0" t="n">
        <v>18</v>
      </c>
      <c r="B20" s="0" t="s">
        <v>56</v>
      </c>
      <c r="C20" s="0" t="s">
        <v>58</v>
      </c>
      <c r="D20" s="0" t="s">
        <v>60</v>
      </c>
      <c r="E20" s="0" t="s">
        <v>54</v>
      </c>
      <c r="F20" s="0" t="s">
        <v>56</v>
      </c>
    </row>
    <row r="21" customFormat="false" ht="15" hidden="false" customHeight="false" outlineLevel="0" collapsed="false">
      <c r="A21" s="0" t="n">
        <v>19</v>
      </c>
      <c r="B21" s="0" t="s">
        <v>50</v>
      </c>
      <c r="C21" s="0" t="s">
        <v>54</v>
      </c>
      <c r="D21" s="0" t="s">
        <v>60</v>
      </c>
      <c r="E21" s="0" t="s">
        <v>46</v>
      </c>
      <c r="F21" s="0" t="s">
        <v>56</v>
      </c>
    </row>
    <row r="22" customFormat="false" ht="15" hidden="false" customHeight="false" outlineLevel="0" collapsed="false">
      <c r="A22" s="0" t="n">
        <v>20</v>
      </c>
      <c r="B22" s="0" t="s">
        <v>50</v>
      </c>
      <c r="C22" s="0" t="s">
        <v>54</v>
      </c>
      <c r="D22" s="0" t="s">
        <v>96</v>
      </c>
      <c r="E22" s="0" t="s">
        <v>60</v>
      </c>
      <c r="F22" s="0" t="s">
        <v>52</v>
      </c>
    </row>
    <row r="23" customFormat="false" ht="15" hidden="false" customHeight="false" outlineLevel="0" collapsed="false">
      <c r="A23" s="0" t="n">
        <v>21</v>
      </c>
      <c r="B23" s="0" t="s">
        <v>42</v>
      </c>
      <c r="C23" s="0" t="s">
        <v>58</v>
      </c>
      <c r="D23" s="0" t="s">
        <v>48</v>
      </c>
      <c r="E23" s="0" t="s">
        <v>44</v>
      </c>
      <c r="F23" s="0" t="s">
        <v>52</v>
      </c>
    </row>
    <row r="24" customFormat="false" ht="15" hidden="false" customHeight="false" outlineLevel="0" collapsed="false">
      <c r="A24" s="0" t="n">
        <v>22</v>
      </c>
      <c r="B24" s="0" t="s">
        <v>60</v>
      </c>
      <c r="C24" s="0" t="s">
        <v>58</v>
      </c>
      <c r="D24" s="0" t="s">
        <v>46</v>
      </c>
      <c r="E24" s="0" t="s">
        <v>44</v>
      </c>
      <c r="F24" s="0" t="s">
        <v>60</v>
      </c>
    </row>
    <row r="25" customFormat="false" ht="15" hidden="false" customHeight="false" outlineLevel="0" collapsed="false">
      <c r="A25" s="0" t="n">
        <v>23</v>
      </c>
      <c r="B25" s="0" t="s">
        <v>54</v>
      </c>
      <c r="C25" s="0" t="s">
        <v>52</v>
      </c>
      <c r="D25" s="0" t="s">
        <v>46</v>
      </c>
      <c r="E25" s="0" t="s">
        <v>56</v>
      </c>
      <c r="F25" s="0" t="s">
        <v>60</v>
      </c>
    </row>
    <row r="26" customFormat="false" ht="15" hidden="false" customHeight="false" outlineLevel="0" collapsed="false">
      <c r="A26" s="0" t="n">
        <v>24</v>
      </c>
      <c r="B26" s="0" t="s">
        <v>96</v>
      </c>
      <c r="C26" s="0" t="s">
        <v>95</v>
      </c>
      <c r="D26" s="0" t="s">
        <v>56</v>
      </c>
      <c r="E26" s="0" t="s">
        <v>56</v>
      </c>
      <c r="F26" s="0" t="s">
        <v>52</v>
      </c>
    </row>
    <row r="27" customFormat="false" ht="15" hidden="false" customHeight="false" outlineLevel="0" collapsed="false">
      <c r="A27" s="0" t="n">
        <v>25</v>
      </c>
      <c r="B27" s="0" t="s">
        <v>48</v>
      </c>
      <c r="C27" s="0" t="s">
        <v>48</v>
      </c>
      <c r="D27" s="0" t="s">
        <v>58</v>
      </c>
      <c r="E27" s="0" t="s">
        <v>40</v>
      </c>
      <c r="F27" s="0" t="s">
        <v>96</v>
      </c>
    </row>
    <row r="28" customFormat="false" ht="15" hidden="false" customHeight="false" outlineLevel="0" collapsed="false">
      <c r="A28" s="0" t="n">
        <v>26</v>
      </c>
      <c r="B28" s="0" t="s">
        <v>44</v>
      </c>
      <c r="C28" s="0" t="s">
        <v>48</v>
      </c>
      <c r="D28" s="0" t="s">
        <v>42</v>
      </c>
      <c r="E28" s="0" t="s">
        <v>58</v>
      </c>
      <c r="F28" s="0" t="s">
        <v>48</v>
      </c>
    </row>
    <row r="29" customFormat="false" ht="15" hidden="false" customHeight="false" outlineLevel="0" collapsed="false">
      <c r="A29" s="0" t="n">
        <v>27</v>
      </c>
      <c r="B29" s="0" t="s">
        <v>58</v>
      </c>
      <c r="C29" s="0" t="s">
        <v>48</v>
      </c>
      <c r="D29" s="0" t="s">
        <v>56</v>
      </c>
      <c r="E29" s="0" t="s">
        <v>46</v>
      </c>
      <c r="F29" s="0" t="s">
        <v>48</v>
      </c>
    </row>
    <row r="30" customFormat="false" ht="15" hidden="false" customHeight="false" outlineLevel="0" collapsed="false">
      <c r="A30" s="0" t="n">
        <v>28</v>
      </c>
      <c r="B30" s="0" t="s">
        <v>58</v>
      </c>
      <c r="C30" s="0" t="s">
        <v>40</v>
      </c>
      <c r="D30" s="0" t="s">
        <v>56</v>
      </c>
      <c r="E30" s="0" t="s">
        <v>56</v>
      </c>
      <c r="F30" s="0" t="s">
        <v>58</v>
      </c>
    </row>
    <row r="31" customFormat="false" ht="15" hidden="false" customHeight="false" outlineLevel="0" collapsed="false">
      <c r="A31" s="0" t="n">
        <v>29</v>
      </c>
      <c r="B31" s="0" t="s">
        <v>96</v>
      </c>
      <c r="C31" s="0" t="s">
        <v>54</v>
      </c>
      <c r="D31" s="0" t="s">
        <v>44</v>
      </c>
      <c r="E31" s="0" t="s">
        <v>95</v>
      </c>
      <c r="F31" s="0" t="s">
        <v>60</v>
      </c>
    </row>
    <row r="32" customFormat="false" ht="15" hidden="false" customHeight="false" outlineLevel="0" collapsed="false">
      <c r="A32" s="0" t="n">
        <v>30</v>
      </c>
      <c r="B32" s="0" t="s">
        <v>44</v>
      </c>
      <c r="C32" s="0" t="s">
        <v>96</v>
      </c>
      <c r="D32" s="0" t="s">
        <v>95</v>
      </c>
      <c r="E32" s="0" t="s">
        <v>60</v>
      </c>
      <c r="F32" s="0" t="s">
        <v>60</v>
      </c>
    </row>
    <row r="33" customFormat="false" ht="15" hidden="false" customHeight="false" outlineLevel="0" collapsed="false">
      <c r="A33" s="0" t="n">
        <v>31</v>
      </c>
      <c r="B33" s="0" t="s">
        <v>44</v>
      </c>
      <c r="C33" s="0" t="s">
        <v>54</v>
      </c>
      <c r="D33" s="0" t="s">
        <v>56</v>
      </c>
      <c r="E33" s="0" t="s">
        <v>60</v>
      </c>
      <c r="F33" s="0" t="s">
        <v>54</v>
      </c>
    </row>
    <row r="34" customFormat="false" ht="15" hidden="false" customHeight="false" outlineLevel="0" collapsed="false">
      <c r="A34" s="0" t="n">
        <v>32</v>
      </c>
      <c r="B34" s="0" t="s">
        <v>46</v>
      </c>
      <c r="C34" s="0" t="s">
        <v>58</v>
      </c>
      <c r="D34" s="0" t="s">
        <v>60</v>
      </c>
      <c r="E34" s="0" t="s">
        <v>60</v>
      </c>
      <c r="F34" s="0" t="s">
        <v>54</v>
      </c>
    </row>
    <row r="35" customFormat="false" ht="15" hidden="false" customHeight="false" outlineLevel="0" collapsed="false">
      <c r="A35" s="0" t="n">
        <v>33</v>
      </c>
      <c r="B35" s="0" t="s">
        <v>48</v>
      </c>
      <c r="C35" s="0" t="s">
        <v>58</v>
      </c>
      <c r="D35" s="0" t="s">
        <v>60</v>
      </c>
      <c r="E35" s="0" t="s">
        <v>54</v>
      </c>
      <c r="F35" s="0" t="s">
        <v>54</v>
      </c>
    </row>
    <row r="36" customFormat="false" ht="15" hidden="false" customHeight="false" outlineLevel="0" collapsed="false">
      <c r="A36" s="0" t="n">
        <v>34</v>
      </c>
      <c r="B36" s="0" t="s">
        <v>58</v>
      </c>
      <c r="C36" s="0" t="s">
        <v>48</v>
      </c>
      <c r="D36" s="0" t="s">
        <v>58</v>
      </c>
      <c r="E36" s="0" t="s">
        <v>60</v>
      </c>
      <c r="F36" s="0" t="s">
        <v>40</v>
      </c>
    </row>
    <row r="37" customFormat="false" ht="15" hidden="false" customHeight="false" outlineLevel="0" collapsed="false">
      <c r="A37" s="0" t="n">
        <v>35</v>
      </c>
      <c r="B37" s="0" t="s">
        <v>58</v>
      </c>
      <c r="C37" s="0" t="s">
        <v>40</v>
      </c>
      <c r="D37" s="0" t="s">
        <v>58</v>
      </c>
      <c r="E37" s="0" t="s">
        <v>60</v>
      </c>
      <c r="F37" s="0" t="s">
        <v>50</v>
      </c>
    </row>
    <row r="38" customFormat="false" ht="15" hidden="false" customHeight="false" outlineLevel="0" collapsed="false">
      <c r="A38" s="0" t="n">
        <v>36</v>
      </c>
      <c r="B38" s="0" t="s">
        <v>54</v>
      </c>
      <c r="C38" s="0" t="s">
        <v>56</v>
      </c>
      <c r="D38" s="0" t="s">
        <v>54</v>
      </c>
      <c r="E38" s="0" t="s">
        <v>50</v>
      </c>
      <c r="F38" s="0" t="s">
        <v>50</v>
      </c>
    </row>
    <row r="39" customFormat="false" ht="15" hidden="false" customHeight="false" outlineLevel="0" collapsed="false">
      <c r="A39" s="0" t="n">
        <v>37</v>
      </c>
      <c r="B39" s="0" t="s">
        <v>50</v>
      </c>
      <c r="C39" s="0" t="s">
        <v>54</v>
      </c>
      <c r="D39" s="0" t="s">
        <v>48</v>
      </c>
      <c r="E39" s="0" t="s">
        <v>52</v>
      </c>
      <c r="F39" s="0" t="s">
        <v>60</v>
      </c>
    </row>
    <row r="40" customFormat="false" ht="15" hidden="false" customHeight="false" outlineLevel="0" collapsed="false">
      <c r="A40" s="0" t="n">
        <v>38</v>
      </c>
      <c r="B40" s="0" t="s">
        <v>48</v>
      </c>
      <c r="C40" s="0" t="s">
        <v>54</v>
      </c>
      <c r="D40" s="0" t="s">
        <v>95</v>
      </c>
      <c r="E40" s="0" t="s">
        <v>48</v>
      </c>
      <c r="F40" s="0" t="s">
        <v>58</v>
      </c>
    </row>
    <row r="41" customFormat="false" ht="15" hidden="false" customHeight="false" outlineLevel="0" collapsed="false">
      <c r="A41" s="0" t="n">
        <v>39</v>
      </c>
      <c r="B41" s="0" t="s">
        <v>58</v>
      </c>
      <c r="C41" s="0" t="s">
        <v>46</v>
      </c>
      <c r="D41" s="0" t="s">
        <v>95</v>
      </c>
      <c r="E41" s="0" t="s">
        <v>48</v>
      </c>
      <c r="F41" s="0" t="s">
        <v>60</v>
      </c>
    </row>
    <row r="42" customFormat="false" ht="15" hidden="false" customHeight="false" outlineLevel="0" collapsed="false">
      <c r="A42" s="0" t="n">
        <v>40</v>
      </c>
      <c r="B42" s="0" t="s">
        <v>56</v>
      </c>
      <c r="C42" s="0" t="s">
        <v>46</v>
      </c>
      <c r="D42" s="0" t="s">
        <v>58</v>
      </c>
      <c r="E42" s="0" t="s">
        <v>60</v>
      </c>
      <c r="F42" s="0" t="s">
        <v>54</v>
      </c>
    </row>
    <row r="43" customFormat="false" ht="15" hidden="false" customHeight="false" outlineLevel="0" collapsed="false">
      <c r="A43" s="0" t="n">
        <v>41</v>
      </c>
      <c r="B43" s="0" t="s">
        <v>56</v>
      </c>
      <c r="C43" s="0" t="s">
        <v>46</v>
      </c>
      <c r="D43" s="0" t="s">
        <v>44</v>
      </c>
      <c r="E43" s="0" t="s">
        <v>60</v>
      </c>
      <c r="F43" s="0" t="s">
        <v>54</v>
      </c>
    </row>
    <row r="44" customFormat="false" ht="15" hidden="false" customHeight="false" outlineLevel="0" collapsed="false">
      <c r="A44" s="0" t="n">
        <v>42</v>
      </c>
      <c r="B44" s="0" t="s">
        <v>58</v>
      </c>
      <c r="C44" s="0" t="s">
        <v>56</v>
      </c>
      <c r="D44" s="0" t="s">
        <v>44</v>
      </c>
      <c r="E44" s="0" t="s">
        <v>42</v>
      </c>
      <c r="F44" s="0" t="s">
        <v>52</v>
      </c>
    </row>
    <row r="45" customFormat="false" ht="15" hidden="false" customHeight="false" outlineLevel="0" collapsed="false">
      <c r="A45" s="0" t="n">
        <v>43</v>
      </c>
      <c r="B45" s="0" t="s">
        <v>58</v>
      </c>
      <c r="C45" s="0" t="s">
        <v>56</v>
      </c>
      <c r="D45" s="0" t="s">
        <v>40</v>
      </c>
      <c r="E45" s="0" t="s">
        <v>42</v>
      </c>
      <c r="F45" s="0" t="s">
        <v>56</v>
      </c>
    </row>
    <row r="46" customFormat="false" ht="15" hidden="false" customHeight="false" outlineLevel="0" collapsed="false">
      <c r="A46" s="0" t="n">
        <v>44</v>
      </c>
      <c r="B46" s="0" t="s">
        <v>96</v>
      </c>
      <c r="C46" s="0" t="s">
        <v>42</v>
      </c>
      <c r="D46" s="0" t="s">
        <v>54</v>
      </c>
      <c r="E46" s="0" t="s">
        <v>96</v>
      </c>
      <c r="F46" s="0" t="s">
        <v>40</v>
      </c>
    </row>
    <row r="47" customFormat="false" ht="15" hidden="false" customHeight="false" outlineLevel="0" collapsed="false">
      <c r="A47" s="0" t="n">
        <v>45</v>
      </c>
      <c r="B47" s="0" t="s">
        <v>60</v>
      </c>
      <c r="C47" s="0" t="s">
        <v>56</v>
      </c>
      <c r="D47" s="0" t="s">
        <v>50</v>
      </c>
      <c r="E47" s="0" t="s">
        <v>56</v>
      </c>
      <c r="F47" s="0" t="s">
        <v>40</v>
      </c>
    </row>
    <row r="48" customFormat="false" ht="15" hidden="false" customHeight="false" outlineLevel="0" collapsed="false">
      <c r="A48" s="0" t="n">
        <v>46</v>
      </c>
      <c r="B48" s="0" t="s">
        <v>60</v>
      </c>
      <c r="C48" s="0" t="s">
        <v>56</v>
      </c>
      <c r="D48" s="0" t="s">
        <v>50</v>
      </c>
      <c r="E48" s="0" t="s">
        <v>56</v>
      </c>
      <c r="F48" s="0" t="s">
        <v>96</v>
      </c>
    </row>
    <row r="49" customFormat="false" ht="15" hidden="false" customHeight="false" outlineLevel="0" collapsed="false">
      <c r="A49" s="0" t="n">
        <v>47</v>
      </c>
      <c r="B49" s="0" t="s">
        <v>60</v>
      </c>
      <c r="C49" s="0" t="s">
        <v>58</v>
      </c>
      <c r="D49" s="0" t="s">
        <v>52</v>
      </c>
      <c r="E49" s="0" t="s">
        <v>56</v>
      </c>
      <c r="F49" s="0" t="s">
        <v>52</v>
      </c>
    </row>
    <row r="50" customFormat="false" ht="15" hidden="false" customHeight="false" outlineLevel="0" collapsed="false">
      <c r="A50" s="0" t="n">
        <v>48</v>
      </c>
      <c r="B50" s="0" t="s">
        <v>48</v>
      </c>
      <c r="C50" s="0" t="s">
        <v>48</v>
      </c>
      <c r="D50" s="0" t="s">
        <v>48</v>
      </c>
      <c r="E50" s="0" t="s">
        <v>95</v>
      </c>
      <c r="F50" s="0" t="s">
        <v>52</v>
      </c>
    </row>
    <row r="51" customFormat="false" ht="15" hidden="false" customHeight="false" outlineLevel="0" collapsed="false">
      <c r="A51" s="0" t="n">
        <v>49</v>
      </c>
      <c r="B51" s="0" t="s">
        <v>54</v>
      </c>
      <c r="C51" s="0" t="s">
        <v>48</v>
      </c>
      <c r="D51" s="0" t="s">
        <v>54</v>
      </c>
      <c r="E51" s="0" t="s">
        <v>48</v>
      </c>
      <c r="F51" s="0" t="s">
        <v>48</v>
      </c>
    </row>
    <row r="52" customFormat="false" ht="15" hidden="false" customHeight="false" outlineLevel="0" collapsed="false">
      <c r="A52" s="0" t="n">
        <v>50</v>
      </c>
      <c r="B52" s="0" t="s">
        <v>46</v>
      </c>
      <c r="C52" s="0" t="s">
        <v>44</v>
      </c>
      <c r="D52" s="0" t="s">
        <v>56</v>
      </c>
      <c r="E52" s="0" t="s">
        <v>48</v>
      </c>
      <c r="F52" s="0" t="s">
        <v>48</v>
      </c>
    </row>
    <row r="53" customFormat="false" ht="15" hidden="false" customHeight="false" outlineLevel="0" collapsed="false">
      <c r="A53" s="0" t="n">
        <v>51</v>
      </c>
      <c r="B53" s="0" t="s">
        <v>40</v>
      </c>
      <c r="C53" s="0" t="s">
        <v>95</v>
      </c>
      <c r="D53" s="0" t="s">
        <v>60</v>
      </c>
      <c r="E53" s="0" t="s">
        <v>58</v>
      </c>
      <c r="F53" s="0" t="s">
        <v>56</v>
      </c>
    </row>
    <row r="54" customFormat="false" ht="15" hidden="false" customHeight="false" outlineLevel="0" collapsed="false">
      <c r="A54" s="0" t="n">
        <v>52</v>
      </c>
      <c r="B54" s="0" t="s">
        <v>40</v>
      </c>
      <c r="C54" s="0" t="s">
        <v>50</v>
      </c>
      <c r="D54" s="0" t="s">
        <v>60</v>
      </c>
      <c r="E54" s="0" t="s">
        <v>58</v>
      </c>
      <c r="F54" s="0" t="s">
        <v>50</v>
      </c>
    </row>
    <row r="55" customFormat="false" ht="15" hidden="false" customHeight="false" outlineLevel="0" collapsed="false">
      <c r="A55" s="0" t="n">
        <v>53</v>
      </c>
      <c r="B55" s="0" t="s">
        <v>96</v>
      </c>
      <c r="C55" s="0" t="s">
        <v>58</v>
      </c>
      <c r="D55" s="0" t="s">
        <v>54</v>
      </c>
      <c r="E55" s="0" t="s">
        <v>54</v>
      </c>
      <c r="F55" s="0" t="s">
        <v>50</v>
      </c>
    </row>
    <row r="56" customFormat="false" ht="15" hidden="false" customHeight="false" outlineLevel="0" collapsed="false">
      <c r="A56" s="0" t="n">
        <v>54</v>
      </c>
      <c r="B56" s="0" t="s">
        <v>56</v>
      </c>
      <c r="C56" s="0" t="s">
        <v>58</v>
      </c>
      <c r="D56" s="0" t="s">
        <v>58</v>
      </c>
      <c r="E56" s="0" t="s">
        <v>54</v>
      </c>
      <c r="F56" s="0" t="s">
        <v>58</v>
      </c>
    </row>
    <row r="57" customFormat="false" ht="15" hidden="false" customHeight="false" outlineLevel="0" collapsed="false">
      <c r="A57" s="0" t="n">
        <v>55</v>
      </c>
      <c r="B57" s="0" t="s">
        <v>50</v>
      </c>
      <c r="C57" s="0" t="s">
        <v>54</v>
      </c>
      <c r="D57" s="0" t="s">
        <v>58</v>
      </c>
      <c r="E57" s="0" t="s">
        <v>44</v>
      </c>
      <c r="F57" s="0" t="s">
        <v>96</v>
      </c>
    </row>
    <row r="58" customFormat="false" ht="15" hidden="false" customHeight="false" outlineLevel="0" collapsed="false">
      <c r="A58" s="0" t="n">
        <v>56</v>
      </c>
      <c r="B58" s="0" t="s">
        <v>50</v>
      </c>
      <c r="C58" s="0" t="s">
        <v>58</v>
      </c>
      <c r="D58" s="0" t="s">
        <v>60</v>
      </c>
      <c r="E58" s="0" t="s">
        <v>44</v>
      </c>
      <c r="F58" s="0" t="s">
        <v>56</v>
      </c>
    </row>
    <row r="59" customFormat="false" ht="15" hidden="false" customHeight="false" outlineLevel="0" collapsed="false">
      <c r="A59" s="0" t="n">
        <v>57</v>
      </c>
      <c r="B59" s="0" t="s">
        <v>52</v>
      </c>
      <c r="C59" s="0" t="s">
        <v>50</v>
      </c>
      <c r="D59" s="0" t="s">
        <v>60</v>
      </c>
      <c r="E59" s="0" t="s">
        <v>96</v>
      </c>
      <c r="F59" s="0" t="s">
        <v>58</v>
      </c>
    </row>
    <row r="60" customFormat="false" ht="15" hidden="false" customHeight="false" outlineLevel="0" collapsed="false">
      <c r="A60" s="0" t="n">
        <v>58</v>
      </c>
      <c r="B60" s="0" t="s">
        <v>54</v>
      </c>
      <c r="C60" s="0" t="s">
        <v>50</v>
      </c>
      <c r="D60" s="0" t="s">
        <v>54</v>
      </c>
      <c r="E60" s="0" t="s">
        <v>40</v>
      </c>
      <c r="F60" s="0" t="s">
        <v>58</v>
      </c>
    </row>
    <row r="61" customFormat="false" ht="15" hidden="false" customHeight="false" outlineLevel="0" collapsed="false">
      <c r="A61" s="0" t="n">
        <v>59</v>
      </c>
      <c r="B61" s="0" t="s">
        <v>56</v>
      </c>
      <c r="C61" s="0" t="s">
        <v>56</v>
      </c>
      <c r="D61" s="0" t="s">
        <v>54</v>
      </c>
      <c r="E61" s="0" t="s">
        <v>52</v>
      </c>
      <c r="F61" s="0" t="s">
        <v>42</v>
      </c>
    </row>
    <row r="62" customFormat="false" ht="15" hidden="false" customHeight="false" outlineLevel="0" collapsed="false">
      <c r="A62" s="0" t="n">
        <v>60</v>
      </c>
      <c r="B62" s="0" t="s">
        <v>58</v>
      </c>
      <c r="C62" s="0" t="s">
        <v>46</v>
      </c>
      <c r="D62" s="0" t="s">
        <v>96</v>
      </c>
      <c r="E62" s="0" t="s">
        <v>52</v>
      </c>
      <c r="F62" s="0" t="s">
        <v>42</v>
      </c>
    </row>
    <row r="63" customFormat="false" ht="15" hidden="false" customHeight="false" outlineLevel="0" collapsed="false">
      <c r="A63" s="0" t="n">
        <v>61</v>
      </c>
      <c r="B63" s="0" t="s">
        <v>58</v>
      </c>
      <c r="C63" s="0" t="s">
        <v>60</v>
      </c>
      <c r="D63" s="0" t="s">
        <v>42</v>
      </c>
      <c r="E63" s="0" t="s">
        <v>58</v>
      </c>
      <c r="F63" s="0" t="s">
        <v>60</v>
      </c>
    </row>
    <row r="64" customFormat="false" ht="15" hidden="false" customHeight="false" outlineLevel="0" collapsed="false">
      <c r="A64" s="0" t="n">
        <v>62</v>
      </c>
      <c r="B64" s="0" t="s">
        <v>46</v>
      </c>
      <c r="C64" s="0" t="s">
        <v>60</v>
      </c>
      <c r="D64" s="0" t="s">
        <v>95</v>
      </c>
      <c r="E64" s="0" t="s">
        <v>52</v>
      </c>
      <c r="F64" s="0" t="s">
        <v>60</v>
      </c>
    </row>
    <row r="65" customFormat="false" ht="15" hidden="false" customHeight="false" outlineLevel="0" collapsed="false">
      <c r="A65" s="0" t="n">
        <v>63</v>
      </c>
      <c r="B65" s="0" t="s">
        <v>60</v>
      </c>
      <c r="C65" s="0" t="s">
        <v>60</v>
      </c>
      <c r="D65" s="0" t="s">
        <v>52</v>
      </c>
      <c r="E65" s="0" t="s">
        <v>96</v>
      </c>
      <c r="F65" s="0" t="s">
        <v>60</v>
      </c>
    </row>
    <row r="66" customFormat="false" ht="15" hidden="false" customHeight="false" outlineLevel="0" collapsed="false">
      <c r="A66" s="0" t="n">
        <v>64</v>
      </c>
      <c r="B66" s="0" t="s">
        <v>60</v>
      </c>
      <c r="C66" s="0" t="s">
        <v>60</v>
      </c>
      <c r="D66" s="0" t="s">
        <v>52</v>
      </c>
      <c r="E66" s="0" t="s">
        <v>44</v>
      </c>
      <c r="F66" s="0" t="s">
        <v>44</v>
      </c>
    </row>
    <row r="67" customFormat="false" ht="15" hidden="false" customHeight="false" outlineLevel="0" collapsed="false">
      <c r="A67" s="0" t="n">
        <v>65</v>
      </c>
      <c r="B67" s="0" t="s">
        <v>60</v>
      </c>
      <c r="C67" s="0" t="s">
        <v>95</v>
      </c>
      <c r="D67" s="0" t="s">
        <v>96</v>
      </c>
      <c r="E67" s="0" t="s">
        <v>56</v>
      </c>
      <c r="F67" s="0" t="s">
        <v>60</v>
      </c>
    </row>
    <row r="68" customFormat="false" ht="15" hidden="false" customHeight="false" outlineLevel="0" collapsed="false">
      <c r="A68" s="0" t="n">
        <v>66</v>
      </c>
      <c r="B68" s="0" t="s">
        <v>52</v>
      </c>
      <c r="C68" s="0" t="s">
        <v>42</v>
      </c>
      <c r="D68" s="0" t="s">
        <v>50</v>
      </c>
      <c r="E68" s="0" t="s">
        <v>54</v>
      </c>
      <c r="F68" s="0" t="s">
        <v>60</v>
      </c>
    </row>
    <row r="69" customFormat="false" ht="15" hidden="false" customHeight="false" outlineLevel="0" collapsed="false">
      <c r="A69" s="0" t="n">
        <v>67</v>
      </c>
      <c r="B69" s="0" t="s">
        <v>52</v>
      </c>
      <c r="C69" s="0" t="s">
        <v>42</v>
      </c>
      <c r="D69" s="0" t="s">
        <v>50</v>
      </c>
      <c r="E69" s="0" t="s">
        <v>54</v>
      </c>
      <c r="F69" s="0" t="s">
        <v>46</v>
      </c>
    </row>
    <row r="70" customFormat="false" ht="15" hidden="false" customHeight="false" outlineLevel="0" collapsed="false">
      <c r="A70" s="0" t="n">
        <v>68</v>
      </c>
      <c r="B70" s="0" t="s">
        <v>56</v>
      </c>
      <c r="C70" s="0" t="s">
        <v>96</v>
      </c>
      <c r="D70" s="0" t="s">
        <v>95</v>
      </c>
      <c r="E70" s="0" t="s">
        <v>95</v>
      </c>
      <c r="F70" s="0" t="s">
        <v>46</v>
      </c>
    </row>
    <row r="71" customFormat="false" ht="15" hidden="false" customHeight="false" outlineLevel="0" collapsed="false">
      <c r="A71" s="0" t="n">
        <v>69</v>
      </c>
      <c r="B71" s="0" t="s">
        <v>56</v>
      </c>
      <c r="C71" s="0" t="s">
        <v>95</v>
      </c>
      <c r="D71" s="0" t="s">
        <v>42</v>
      </c>
      <c r="E71" s="0" t="s">
        <v>56</v>
      </c>
      <c r="F71" s="0" t="s">
        <v>50</v>
      </c>
    </row>
    <row r="72" customFormat="false" ht="15" hidden="false" customHeight="false" outlineLevel="0" collapsed="false">
      <c r="A72" s="0" t="n">
        <v>70</v>
      </c>
      <c r="B72" s="0" t="s">
        <v>54</v>
      </c>
      <c r="C72" s="0" t="s">
        <v>42</v>
      </c>
      <c r="D72" s="0" t="s">
        <v>42</v>
      </c>
      <c r="E72" s="0" t="s">
        <v>58</v>
      </c>
      <c r="F72" s="0" t="s">
        <v>58</v>
      </c>
    </row>
    <row r="73" customFormat="false" ht="15" hidden="false" customHeight="false" outlineLevel="0" collapsed="false">
      <c r="A73" s="0" t="n">
        <v>71</v>
      </c>
      <c r="B73" s="0" t="s">
        <v>54</v>
      </c>
      <c r="C73" s="0" t="s">
        <v>52</v>
      </c>
      <c r="D73" s="0" t="s">
        <v>56</v>
      </c>
      <c r="E73" s="0" t="s">
        <v>58</v>
      </c>
      <c r="F73" s="0" t="s">
        <v>58</v>
      </c>
    </row>
    <row r="74" customFormat="false" ht="15" hidden="false" customHeight="false" outlineLevel="0" collapsed="false">
      <c r="A74" s="0" t="n">
        <v>72</v>
      </c>
      <c r="B74" s="0" t="s">
        <v>40</v>
      </c>
      <c r="C74" s="0" t="s">
        <v>46</v>
      </c>
      <c r="D74" s="0" t="s">
        <v>56</v>
      </c>
      <c r="E74" s="0" t="s">
        <v>95</v>
      </c>
      <c r="F74" s="0" t="s">
        <v>58</v>
      </c>
    </row>
    <row r="75" customFormat="false" ht="15" hidden="false" customHeight="false" outlineLevel="0" collapsed="false">
      <c r="A75" s="0" t="n">
        <v>73</v>
      </c>
      <c r="B75" s="0" t="s">
        <v>42</v>
      </c>
      <c r="C75" s="0" t="s">
        <v>60</v>
      </c>
      <c r="D75" s="0" t="s">
        <v>95</v>
      </c>
      <c r="E75" s="0" t="s">
        <v>60</v>
      </c>
      <c r="F75" s="0" t="s">
        <v>58</v>
      </c>
    </row>
    <row r="76" customFormat="false" ht="15" hidden="false" customHeight="false" outlineLevel="0" collapsed="false">
      <c r="A76" s="0" t="n">
        <v>74</v>
      </c>
      <c r="B76" s="0" t="s">
        <v>60</v>
      </c>
      <c r="C76" s="0" t="s">
        <v>60</v>
      </c>
      <c r="D76" s="0" t="s">
        <v>60</v>
      </c>
      <c r="E76" s="0" t="s">
        <v>60</v>
      </c>
      <c r="F76" s="0" t="s">
        <v>50</v>
      </c>
    </row>
    <row r="77" customFormat="false" ht="15" hidden="false" customHeight="false" outlineLevel="0" collapsed="false">
      <c r="A77" s="0" t="n">
        <v>75</v>
      </c>
      <c r="B77" s="0" t="s">
        <v>60</v>
      </c>
      <c r="C77" s="0" t="s">
        <v>52</v>
      </c>
      <c r="D77" s="0" t="s">
        <v>60</v>
      </c>
      <c r="E77" s="0" t="s">
        <v>46</v>
      </c>
      <c r="F77" s="0" t="s">
        <v>46</v>
      </c>
    </row>
    <row r="78" customFormat="false" ht="15" hidden="false" customHeight="false" outlineLevel="0" collapsed="false">
      <c r="A78" s="0" t="n">
        <v>76</v>
      </c>
      <c r="B78" s="0" t="s">
        <v>58</v>
      </c>
      <c r="C78" s="0" t="s">
        <v>52</v>
      </c>
      <c r="D78" s="0" t="s">
        <v>56</v>
      </c>
      <c r="E78" s="0" t="s">
        <v>42</v>
      </c>
      <c r="F78" s="0" t="s">
        <v>46</v>
      </c>
    </row>
    <row r="79" customFormat="false" ht="15" hidden="false" customHeight="false" outlineLevel="0" collapsed="false">
      <c r="A79" s="0" t="n">
        <v>77</v>
      </c>
      <c r="B79" s="0" t="s">
        <v>56</v>
      </c>
      <c r="C79" s="0" t="s">
        <v>50</v>
      </c>
      <c r="D79" s="0" t="s">
        <v>56</v>
      </c>
      <c r="E79" s="0" t="s">
        <v>56</v>
      </c>
      <c r="F79" s="0" t="s">
        <v>58</v>
      </c>
    </row>
    <row r="80" customFormat="false" ht="15" hidden="false" customHeight="false" outlineLevel="0" collapsed="false">
      <c r="A80" s="0" t="n">
        <v>78</v>
      </c>
      <c r="B80" s="0" t="s">
        <v>54</v>
      </c>
      <c r="C80" s="0" t="s">
        <v>50</v>
      </c>
      <c r="D80" s="0" t="s">
        <v>58</v>
      </c>
      <c r="E80" s="0" t="s">
        <v>50</v>
      </c>
      <c r="F80" s="0" t="s">
        <v>56</v>
      </c>
    </row>
    <row r="81" customFormat="false" ht="15" hidden="false" customHeight="false" outlineLevel="0" collapsed="false">
      <c r="A81" s="0" t="n">
        <v>79</v>
      </c>
      <c r="C81" s="0" t="s">
        <v>56</v>
      </c>
      <c r="D81" s="0" t="s">
        <v>46</v>
      </c>
      <c r="E81" s="0" t="s">
        <v>50</v>
      </c>
      <c r="F81" s="0" t="s">
        <v>46</v>
      </c>
    </row>
    <row r="82" customFormat="false" ht="15" hidden="false" customHeight="false" outlineLevel="0" collapsed="false">
      <c r="A82" s="0" t="n">
        <v>80</v>
      </c>
      <c r="C82" s="0" t="s">
        <v>50</v>
      </c>
      <c r="D82" s="0" t="s">
        <v>40</v>
      </c>
      <c r="E82" s="0" t="s">
        <v>58</v>
      </c>
      <c r="F82" s="0" t="s">
        <v>60</v>
      </c>
    </row>
    <row r="83" customFormat="false" ht="15" hidden="false" customHeight="false" outlineLevel="0" collapsed="false">
      <c r="A83" s="0" t="n">
        <v>81</v>
      </c>
      <c r="C83" s="0" t="s">
        <v>56</v>
      </c>
      <c r="D83" s="0" t="s">
        <v>40</v>
      </c>
      <c r="E83" s="0" t="s">
        <v>58</v>
      </c>
      <c r="F83" s="0" t="s">
        <v>96</v>
      </c>
    </row>
    <row r="84" customFormat="false" ht="15" hidden="false" customHeight="false" outlineLevel="0" collapsed="false">
      <c r="A84" s="0" t="n">
        <v>82</v>
      </c>
      <c r="C84" s="0" t="s">
        <v>56</v>
      </c>
      <c r="D84" s="0" t="s">
        <v>44</v>
      </c>
      <c r="E84" s="0" t="s">
        <v>50</v>
      </c>
      <c r="F84" s="0" t="s">
        <v>56</v>
      </c>
    </row>
    <row r="85" customFormat="false" ht="15" hidden="false" customHeight="false" outlineLevel="0" collapsed="false">
      <c r="A85" s="0" t="n">
        <v>83</v>
      </c>
      <c r="C85" s="0" t="s">
        <v>60</v>
      </c>
      <c r="D85" s="0" t="s">
        <v>44</v>
      </c>
      <c r="E85" s="0" t="s">
        <v>50</v>
      </c>
      <c r="F85" s="0" t="s">
        <v>56</v>
      </c>
    </row>
    <row r="86" customFormat="false" ht="15" hidden="false" customHeight="false" outlineLevel="0" collapsed="false">
      <c r="A86" s="0" t="n">
        <v>84</v>
      </c>
      <c r="C86" s="0" t="s">
        <v>60</v>
      </c>
      <c r="D86" s="0" t="s">
        <v>54</v>
      </c>
      <c r="E86" s="0" t="s">
        <v>50</v>
      </c>
      <c r="F86" s="0" t="s">
        <v>60</v>
      </c>
    </row>
    <row r="87" customFormat="false" ht="15" hidden="false" customHeight="false" outlineLevel="0" collapsed="false">
      <c r="A87" s="0" t="n">
        <v>85</v>
      </c>
      <c r="F87" s="0" t="s">
        <v>44</v>
      </c>
    </row>
    <row r="88" customFormat="false" ht="15" hidden="false" customHeight="false" outlineLevel="0" collapsed="false">
      <c r="A88" s="0" t="n">
        <v>86</v>
      </c>
      <c r="F88" s="0" t="s">
        <v>44</v>
      </c>
    </row>
    <row r="89" customFormat="false" ht="15" hidden="false" customHeight="false" outlineLevel="0" collapsed="false">
      <c r="A89" s="0" t="n">
        <v>87</v>
      </c>
      <c r="F89" s="0" t="s">
        <v>42</v>
      </c>
    </row>
    <row r="90" customFormat="false" ht="15" hidden="false" customHeight="false" outlineLevel="0" collapsed="false">
      <c r="A90" s="0" t="n">
        <v>88</v>
      </c>
      <c r="F90" s="0" t="s">
        <v>42</v>
      </c>
    </row>
    <row r="91" customFormat="false" ht="15" hidden="false" customHeight="false" outlineLevel="0" collapsed="false">
      <c r="A91" s="0" t="n">
        <v>89</v>
      </c>
      <c r="F91" s="0" t="s">
        <v>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3" t="s">
        <v>102</v>
      </c>
      <c r="B1" s="3" t="s">
        <v>90</v>
      </c>
      <c r="C1" s="3" t="s">
        <v>91</v>
      </c>
      <c r="D1" s="3" t="s">
        <v>92</v>
      </c>
      <c r="E1" s="3" t="s">
        <v>93</v>
      </c>
      <c r="F1" s="3" t="s">
        <v>94</v>
      </c>
      <c r="H1" s="2" t="s">
        <v>103</v>
      </c>
    </row>
    <row r="2" customFormat="false" ht="15" hidden="false" customHeight="false" outlineLevel="0" collapsed="false">
      <c r="A2" s="0" t="n">
        <v>1</v>
      </c>
      <c r="B2" s="0" t="n">
        <v>1</v>
      </c>
      <c r="C2" s="0" t="n">
        <v>1</v>
      </c>
      <c r="D2" s="0" t="n">
        <v>1</v>
      </c>
      <c r="E2" s="0" t="n">
        <v>1</v>
      </c>
      <c r="F2" s="0" t="n">
        <v>1</v>
      </c>
    </row>
    <row r="3" customFormat="false" ht="15" hidden="false" customHeight="false" outlineLevel="0" collapsed="false">
      <c r="A3" s="0" t="n">
        <v>2</v>
      </c>
      <c r="B3" s="0" t="n">
        <v>0</v>
      </c>
      <c r="C3" s="0" t="n">
        <v>0</v>
      </c>
      <c r="D3" s="0" t="n">
        <v>0</v>
      </c>
      <c r="E3" s="0" t="n">
        <v>0</v>
      </c>
      <c r="F3" s="0" t="n">
        <v>0</v>
      </c>
    </row>
    <row r="4" customFormat="false" ht="15" hidden="false" customHeight="false" outlineLevel="0" collapsed="false">
      <c r="A4" s="0" t="n">
        <v>3</v>
      </c>
      <c r="B4" s="0" t="n">
        <v>2</v>
      </c>
      <c r="C4" s="0" t="n">
        <v>2</v>
      </c>
      <c r="D4" s="0" t="n">
        <v>2</v>
      </c>
      <c r="E4" s="0" t="n">
        <v>2</v>
      </c>
      <c r="F4" s="0" t="n">
        <v>2</v>
      </c>
    </row>
    <row r="5" customFormat="false" ht="15" hidden="false" customHeight="false" outlineLevel="0" collapsed="false">
      <c r="A5" s="0" t="n">
        <v>4</v>
      </c>
      <c r="B5" s="0" t="n">
        <v>0</v>
      </c>
      <c r="C5" s="0" t="n">
        <v>1</v>
      </c>
      <c r="D5" s="0" t="n">
        <v>2</v>
      </c>
      <c r="E5" s="0" t="n">
        <v>1</v>
      </c>
      <c r="F5" s="0" t="n">
        <v>0</v>
      </c>
    </row>
    <row r="6" customFormat="false" ht="15" hidden="false" customHeight="false" outlineLevel="0" collapsed="false">
      <c r="A6" s="0" t="n">
        <v>5</v>
      </c>
      <c r="B6" s="0" t="n">
        <v>2</v>
      </c>
      <c r="C6" s="0" t="n">
        <v>1</v>
      </c>
      <c r="D6" s="0" t="n">
        <v>0</v>
      </c>
      <c r="E6" s="0" t="n">
        <v>1</v>
      </c>
      <c r="F6" s="0" t="n">
        <v>2</v>
      </c>
    </row>
    <row r="7" customFormat="false" ht="15" hidden="false" customHeight="false" outlineLevel="0" collapsed="false">
      <c r="A7" s="0" t="n">
        <v>6</v>
      </c>
      <c r="B7" s="0" t="n">
        <v>0</v>
      </c>
      <c r="C7" s="0" t="n">
        <v>0</v>
      </c>
      <c r="D7" s="0" t="n">
        <v>1</v>
      </c>
      <c r="E7" s="0" t="n">
        <v>2</v>
      </c>
      <c r="F7" s="0" t="n">
        <v>2</v>
      </c>
    </row>
    <row r="8" customFormat="false" ht="15" hidden="false" customHeight="false" outlineLevel="0" collapsed="false">
      <c r="A8" s="0" t="n">
        <v>7</v>
      </c>
      <c r="B8" s="0" t="n">
        <v>2</v>
      </c>
      <c r="C8" s="0" t="n">
        <v>2</v>
      </c>
      <c r="D8" s="0" t="n">
        <v>1</v>
      </c>
      <c r="E8" s="0" t="n">
        <v>0</v>
      </c>
      <c r="F8" s="0" t="n">
        <v>0</v>
      </c>
    </row>
    <row r="9" customFormat="false" ht="15" hidden="false" customHeight="false" outlineLevel="0" collapsed="false">
      <c r="A9" s="0" t="n">
        <v>8</v>
      </c>
      <c r="B9" s="0" t="n">
        <v>1</v>
      </c>
      <c r="C9" s="0" t="n">
        <v>0</v>
      </c>
      <c r="D9" s="0" t="n">
        <v>0</v>
      </c>
      <c r="E9" s="0" t="n">
        <v>0</v>
      </c>
      <c r="F9" s="0" t="n">
        <v>1</v>
      </c>
    </row>
    <row r="10" customFormat="false" ht="15" hidden="false" customHeight="false" outlineLevel="0" collapsed="false">
      <c r="A10" s="0" t="n">
        <v>9</v>
      </c>
      <c r="B10" s="0" t="n">
        <v>1</v>
      </c>
      <c r="C10" s="0" t="n">
        <v>2</v>
      </c>
      <c r="D10" s="0" t="n">
        <v>2</v>
      </c>
      <c r="E10" s="0" t="n">
        <v>2</v>
      </c>
      <c r="F10" s="0" t="n">
        <v>1</v>
      </c>
    </row>
    <row r="11" customFormat="false" ht="15" hidden="false" customHeight="false" outlineLevel="0" collapsed="false">
      <c r="A11" s="0" t="n">
        <v>10</v>
      </c>
      <c r="B11" s="0" t="n">
        <v>1</v>
      </c>
      <c r="C11" s="0" t="n">
        <v>0</v>
      </c>
      <c r="D11" s="0" t="n">
        <v>1</v>
      </c>
      <c r="E11" s="0" t="n">
        <v>2</v>
      </c>
      <c r="F11" s="0" t="n">
        <v>1</v>
      </c>
    </row>
    <row r="12" customFormat="false" ht="15" hidden="false" customHeight="false" outlineLevel="0" collapsed="false">
      <c r="A12" s="0" t="n">
        <v>11</v>
      </c>
      <c r="B12" s="0" t="n">
        <v>1</v>
      </c>
      <c r="C12" s="0" t="n">
        <v>2</v>
      </c>
      <c r="D12" s="0" t="n">
        <v>1</v>
      </c>
      <c r="E12" s="0" t="n">
        <v>0</v>
      </c>
      <c r="F12" s="0" t="n">
        <v>1</v>
      </c>
    </row>
    <row r="13" customFormat="false" ht="15" hidden="false" customHeight="false" outlineLevel="0" collapsed="false">
      <c r="A13" s="0" t="n">
        <v>12</v>
      </c>
      <c r="B13" s="0" t="n">
        <v>0</v>
      </c>
      <c r="C13" s="0" t="n">
        <v>1</v>
      </c>
      <c r="D13" s="0" t="n">
        <v>0</v>
      </c>
      <c r="E13" s="0" t="n">
        <v>1</v>
      </c>
      <c r="F13" s="0" t="n">
        <v>0</v>
      </c>
    </row>
    <row r="14" customFormat="false" ht="15" hidden="false" customHeight="false" outlineLevel="0" collapsed="false">
      <c r="A14" s="0" t="n">
        <v>13</v>
      </c>
      <c r="B14" s="0" t="n">
        <v>2</v>
      </c>
      <c r="C14" s="0" t="n">
        <v>1</v>
      </c>
      <c r="D14" s="0" t="n">
        <v>2</v>
      </c>
      <c r="E14" s="0" t="n">
        <v>1</v>
      </c>
      <c r="F14" s="0" t="n">
        <v>2</v>
      </c>
    </row>
    <row r="15" customFormat="false" ht="15" hidden="false" customHeight="false" outlineLevel="0" collapsed="false">
      <c r="A15" s="0" t="n">
        <v>14</v>
      </c>
      <c r="B15" s="0" t="n">
        <v>1</v>
      </c>
      <c r="C15" s="0" t="n">
        <v>1</v>
      </c>
      <c r="D15" s="0" t="n">
        <v>0</v>
      </c>
      <c r="E15" s="0" t="n">
        <v>1</v>
      </c>
      <c r="F15" s="0" t="n">
        <v>1</v>
      </c>
    </row>
    <row r="16" customFormat="false" ht="15" hidden="false" customHeight="false" outlineLevel="0" collapsed="false">
      <c r="A16" s="0" t="n">
        <v>15</v>
      </c>
      <c r="B16" s="0" t="n">
        <v>1</v>
      </c>
      <c r="C16" s="0" t="n">
        <v>1</v>
      </c>
      <c r="D16" s="0" t="n">
        <v>2</v>
      </c>
      <c r="E16" s="0" t="n">
        <v>1</v>
      </c>
      <c r="F16" s="0" t="n">
        <v>1</v>
      </c>
    </row>
    <row r="17" customFormat="false" ht="15" hidden="false" customHeight="false" outlineLevel="0" collapsed="false">
      <c r="A17" s="0" t="n">
        <v>16</v>
      </c>
      <c r="B17" s="0" t="n">
        <v>0</v>
      </c>
      <c r="C17" s="0" t="n">
        <v>1</v>
      </c>
      <c r="D17" s="0" t="n">
        <v>1</v>
      </c>
      <c r="E17" s="0" t="n">
        <v>1</v>
      </c>
      <c r="F17" s="0" t="n">
        <v>0</v>
      </c>
    </row>
    <row r="18" customFormat="false" ht="15" hidden="false" customHeight="false" outlineLevel="0" collapsed="false">
      <c r="A18" s="0" t="n">
        <v>17</v>
      </c>
      <c r="B18" s="0" t="n">
        <v>2</v>
      </c>
      <c r="C18" s="0" t="n">
        <v>1</v>
      </c>
      <c r="D18" s="0" t="n">
        <v>1</v>
      </c>
      <c r="E18" s="0" t="n">
        <v>1</v>
      </c>
      <c r="F18" s="0" t="n">
        <v>2</v>
      </c>
    </row>
    <row r="19" customFormat="false" ht="15" hidden="false" customHeight="false" outlineLevel="0" collapsed="false">
      <c r="A19" s="0" t="n">
        <v>18</v>
      </c>
      <c r="B19" s="0" t="n">
        <v>0</v>
      </c>
      <c r="C19" s="0" t="n">
        <v>2</v>
      </c>
      <c r="D19" s="0" t="n">
        <v>0</v>
      </c>
      <c r="E19" s="0" t="n">
        <v>2</v>
      </c>
      <c r="F19" s="0" t="n">
        <v>0</v>
      </c>
    </row>
    <row r="20" customFormat="false" ht="15" hidden="false" customHeight="false" outlineLevel="0" collapsed="false">
      <c r="A20" s="0" t="n">
        <v>19</v>
      </c>
      <c r="B20" s="0" t="n">
        <v>2</v>
      </c>
      <c r="C20" s="0" t="n">
        <v>0</v>
      </c>
      <c r="D20" s="0" t="n">
        <v>2</v>
      </c>
      <c r="E20" s="0" t="n">
        <v>0</v>
      </c>
      <c r="F20" s="0" t="n">
        <v>2</v>
      </c>
    </row>
    <row r="21" customFormat="false" ht="15" hidden="false" customHeight="false" outlineLevel="0" collapsed="false">
      <c r="A21" s="0" t="n">
        <v>20</v>
      </c>
      <c r="B21" s="0" t="n">
        <v>0</v>
      </c>
      <c r="C21" s="0" t="n">
        <v>2</v>
      </c>
      <c r="D21" s="0" t="n">
        <v>2</v>
      </c>
      <c r="E21" s="0" t="n">
        <v>2</v>
      </c>
      <c r="F21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5" min="4" style="0" width="20"/>
    <col collapsed="false" customWidth="true" hidden="false" outlineLevel="0" max="6" min="6" style="0" width="24"/>
  </cols>
  <sheetData>
    <row r="1" customFormat="false" ht="16.15" hidden="false" customHeight="false" outlineLevel="0" collapsed="false">
      <c r="A1" s="1" t="s">
        <v>104</v>
      </c>
    </row>
    <row r="3" customFormat="false" ht="26.85" hidden="false" customHeight="false" outlineLevel="0" collapsed="false">
      <c r="A3" s="3" t="s">
        <v>105</v>
      </c>
      <c r="B3" s="3" t="s">
        <v>20</v>
      </c>
      <c r="C3" s="3" t="s">
        <v>22</v>
      </c>
      <c r="D3" s="3" t="s">
        <v>24</v>
      </c>
      <c r="E3" s="3" t="s">
        <v>26</v>
      </c>
      <c r="F3" s="3" t="s">
        <v>28</v>
      </c>
    </row>
    <row r="4" customFormat="false" ht="15" hidden="false" customHeight="false" outlineLevel="0" collapsed="false">
      <c r="A4" s="0" t="s">
        <v>106</v>
      </c>
      <c r="B4" s="9" t="n">
        <f aca="false">1-SUM(B5:B16)</f>
        <v>0.76929885</v>
      </c>
      <c r="C4" s="9" t="n">
        <f aca="false">1-SUM(C5:C16)</f>
        <v>0.7611822</v>
      </c>
      <c r="D4" s="9" t="n">
        <f aca="false">1-SUM(D5:D16)</f>
        <v>0.00403399999999998</v>
      </c>
      <c r="E4" s="9" t="n">
        <f aca="false">1-SUM(E5:E16)</f>
        <v>0.00400999999999996</v>
      </c>
      <c r="F4" s="9" t="n">
        <f aca="false">1-SUM(F5:F16)</f>
        <v>0.00141000000000002</v>
      </c>
    </row>
    <row r="5" customFormat="false" ht="15" hidden="false" customHeight="false" outlineLevel="0" collapsed="false">
      <c r="A5" s="0" t="s">
        <v>107</v>
      </c>
      <c r="B5" s="9" t="n">
        <v>0.05138495</v>
      </c>
      <c r="C5" s="9" t="n">
        <v>0.0527371</v>
      </c>
      <c r="D5" s="9" t="n">
        <v>0.002188</v>
      </c>
      <c r="E5" s="9" t="n">
        <v>0.000574</v>
      </c>
      <c r="F5" s="9" t="n">
        <v>4.8E-005</v>
      </c>
    </row>
    <row r="6" customFormat="false" ht="15" hidden="false" customHeight="false" outlineLevel="0" collapsed="false">
      <c r="A6" s="0" t="s">
        <v>108</v>
      </c>
      <c r="B6" s="9" t="n">
        <v>0.07276295</v>
      </c>
      <c r="C6" s="9" t="n">
        <v>0.0742789</v>
      </c>
      <c r="D6" s="9" t="n">
        <v>0.004642</v>
      </c>
      <c r="E6" s="9" t="n">
        <v>0.000726</v>
      </c>
      <c r="F6" s="9" t="n">
        <v>5.6E-005</v>
      </c>
    </row>
    <row r="7" customFormat="false" ht="15" hidden="false" customHeight="false" outlineLevel="0" collapsed="false">
      <c r="A7" s="0" t="s">
        <v>109</v>
      </c>
      <c r="B7" s="9" t="n">
        <v>0.07365195</v>
      </c>
      <c r="C7" s="9" t="n">
        <v>0.0621398</v>
      </c>
      <c r="D7" s="9" t="n">
        <v>0.025826</v>
      </c>
      <c r="E7" s="9" t="n">
        <v>0.0016</v>
      </c>
      <c r="F7" s="9" t="n">
        <v>9.2E-005</v>
      </c>
    </row>
    <row r="8" customFormat="false" ht="15" hidden="false" customHeight="false" outlineLevel="0" collapsed="false">
      <c r="A8" s="0" t="s">
        <v>110</v>
      </c>
      <c r="B8" s="9" t="n">
        <v>0.02183685</v>
      </c>
      <c r="C8" s="9" t="n">
        <v>0.0213031</v>
      </c>
      <c r="D8" s="9" t="n">
        <v>0.063894</v>
      </c>
      <c r="E8" s="9" t="n">
        <v>0.00582</v>
      </c>
      <c r="F8" s="9" t="n">
        <v>0.000458</v>
      </c>
    </row>
    <row r="9" customFormat="false" ht="15" hidden="false" customHeight="false" outlineLevel="0" collapsed="false">
      <c r="A9" s="0" t="s">
        <v>111</v>
      </c>
      <c r="B9" s="9" t="n">
        <v>0.00676245</v>
      </c>
      <c r="C9" s="9" t="n">
        <v>0.0087226</v>
      </c>
      <c r="D9" s="9" t="n">
        <v>0.13718</v>
      </c>
      <c r="E9" s="9" t="n">
        <v>0.022254</v>
      </c>
      <c r="F9" s="9" t="n">
        <v>0.001382</v>
      </c>
    </row>
    <row r="10" customFormat="false" ht="15" hidden="false" customHeight="false" outlineLevel="0" collapsed="false">
      <c r="A10" s="0" t="s">
        <v>112</v>
      </c>
      <c r="B10" s="9" t="n">
        <v>0.0023518</v>
      </c>
      <c r="C10" s="9" t="n">
        <v>0.0077433</v>
      </c>
      <c r="D10" s="9" t="n">
        <v>0.275128</v>
      </c>
      <c r="E10" s="9" t="n">
        <v>0.104654</v>
      </c>
      <c r="F10" s="9" t="n">
        <v>0.010322</v>
      </c>
    </row>
    <row r="11" customFormat="false" ht="15" hidden="false" customHeight="false" outlineLevel="0" collapsed="false">
      <c r="A11" s="0" t="s">
        <v>113</v>
      </c>
      <c r="B11" s="9" t="n">
        <v>0.00087855</v>
      </c>
      <c r="C11" s="9" t="n">
        <v>0.0050951</v>
      </c>
      <c r="D11" s="9" t="n">
        <v>0.20848</v>
      </c>
      <c r="E11" s="9" t="n">
        <v>0.18259</v>
      </c>
      <c r="F11" s="9" t="n">
        <v>0.040352</v>
      </c>
    </row>
    <row r="12" customFormat="false" ht="15" hidden="false" customHeight="false" outlineLevel="0" collapsed="false">
      <c r="A12" s="0" t="s">
        <v>114</v>
      </c>
      <c r="B12" s="9" t="n">
        <v>0.00098085</v>
      </c>
      <c r="C12" s="9" t="n">
        <v>0.0062101</v>
      </c>
      <c r="D12" s="9" t="n">
        <v>0.254648</v>
      </c>
      <c r="E12" s="9" t="n">
        <v>0.557794</v>
      </c>
      <c r="F12" s="9" t="n">
        <v>0.55236</v>
      </c>
    </row>
    <row r="13" customFormat="false" ht="15" hidden="false" customHeight="false" outlineLevel="0" collapsed="false">
      <c r="A13" s="0" t="s">
        <v>115</v>
      </c>
      <c r="B13" s="9" t="n">
        <v>7.705E-005</v>
      </c>
      <c r="C13" s="9" t="n">
        <v>0.0004939</v>
      </c>
      <c r="D13" s="9" t="n">
        <v>0.020268</v>
      </c>
      <c r="E13" s="9" t="n">
        <v>0.094354</v>
      </c>
      <c r="F13" s="9" t="n">
        <v>0.26984</v>
      </c>
    </row>
    <row r="14" customFormat="false" ht="15" hidden="false" customHeight="false" outlineLevel="0" collapsed="false">
      <c r="A14" s="0" t="s">
        <v>116</v>
      </c>
      <c r="B14" s="9" t="n">
        <v>1.375E-005</v>
      </c>
      <c r="C14" s="9" t="n">
        <v>9.39E-005</v>
      </c>
      <c r="D14" s="9" t="n">
        <v>0.003712</v>
      </c>
      <c r="E14" s="9" t="n">
        <v>0.025548</v>
      </c>
      <c r="F14" s="9" t="n">
        <v>0.122984</v>
      </c>
    </row>
    <row r="15" customFormat="false" ht="15" hidden="false" customHeight="false" outlineLevel="0" collapsed="false">
      <c r="A15" s="0" t="s">
        <v>117</v>
      </c>
      <c r="B15" s="9" t="n">
        <v>0</v>
      </c>
      <c r="C15" s="9" t="n">
        <v>0</v>
      </c>
      <c r="D15" s="9" t="n">
        <v>0</v>
      </c>
      <c r="E15" s="9" t="n">
        <v>7.6E-005</v>
      </c>
      <c r="F15" s="9" t="n">
        <v>0.000688</v>
      </c>
    </row>
    <row r="16" customFormat="false" ht="15" hidden="false" customHeight="false" outlineLevel="0" collapsed="false">
      <c r="A16" s="0" t="s">
        <v>118</v>
      </c>
      <c r="B16" s="9" t="n">
        <v>0</v>
      </c>
      <c r="C16" s="9" t="n">
        <v>0</v>
      </c>
      <c r="D16" s="9" t="n">
        <v>0</v>
      </c>
      <c r="E16" s="9" t="n">
        <v>0</v>
      </c>
      <c r="F16" s="9" t="n">
        <v>8E-006</v>
      </c>
    </row>
    <row r="18" customFormat="false" ht="15" hidden="false" customHeight="false" outlineLevel="0" collapsed="false">
      <c r="A18" s="2" t="s">
        <v>119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2026-10-11T11:13:06Z</dcterms:created>
  <dc:creator>openpyxl</dc:creator>
  <dc:description/>
  <dc:language>en-US</dc:language>
  <cp:lastModifiedBy/>
  <dcterms:modified xsi:type="dcterms:W3CDTF">2026-10-11T11:13:06Z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